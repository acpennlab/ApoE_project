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m/Documents/MSci Medical Neuroscience/Y4/Research Project/Data/"/>
    </mc:Choice>
  </mc:AlternateContent>
  <xr:revisionPtr revIDLastSave="0" documentId="8_{38AC84B4-C762-6C40-8EF4-4A46D3170D77}" xr6:coauthVersionLast="47" xr6:coauthVersionMax="47" xr10:uidLastSave="{00000000-0000-0000-0000-000000000000}"/>
  <bookViews>
    <workbookView xWindow="0" yWindow="660" windowWidth="30220" windowHeight="17780" activeTab="1" xr2:uid="{00000000-000D-0000-FFFF-FFFF00000000}"/>
  </bookViews>
  <sheets>
    <sheet name="abeta" sheetId="1" r:id="rId1"/>
    <sheet name="Sheet1" sheetId="3" r:id="rId2"/>
    <sheet name="excluded_data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2" i="3" l="1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3" i="3"/>
  <c r="AE4" i="3"/>
  <c r="AE5" i="3"/>
  <c r="AE6" i="3"/>
  <c r="AE7" i="3"/>
  <c r="AE8" i="3"/>
  <c r="AE9" i="3"/>
  <c r="AE10" i="3"/>
  <c r="AE11" i="3"/>
  <c r="AE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U2" i="3"/>
  <c r="AD2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2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3" i="1"/>
  <c r="U2" i="1"/>
  <c r="W20" i="2"/>
  <c r="W19" i="2"/>
  <c r="W16" i="2"/>
  <c r="W12" i="2"/>
  <c r="W3" i="2"/>
  <c r="W2" i="2"/>
</calcChain>
</file>

<file path=xl/sharedStrings.xml><?xml version="1.0" encoding="utf-8"?>
<sst xmlns="http://schemas.openxmlformats.org/spreadsheetml/2006/main" count="1162" uniqueCount="250">
  <si>
    <t>Recording</t>
  </si>
  <si>
    <t>Animal</t>
  </si>
  <si>
    <t>Slice</t>
  </si>
  <si>
    <t>Cell</t>
  </si>
  <si>
    <t>Genotype</t>
  </si>
  <si>
    <t>Condition</t>
  </si>
  <si>
    <t>peak</t>
  </si>
  <si>
    <t>afterhyp</t>
  </si>
  <si>
    <t>amp</t>
  </si>
  <si>
    <t>thresh</t>
  </si>
  <si>
    <t>half</t>
  </si>
  <si>
    <t>rise</t>
  </si>
  <si>
    <t>fall</t>
  </si>
  <si>
    <t>IR</t>
  </si>
  <si>
    <t>Rh</t>
  </si>
  <si>
    <t>sag</t>
  </si>
  <si>
    <t>RMP</t>
  </si>
  <si>
    <t>maxApnum</t>
  </si>
  <si>
    <t>adaptIndex</t>
  </si>
  <si>
    <t>R:\shared\CSSD016348\Public\Documents\acq4 data\ah918\GNE E3 E4\E3 DMSO\2023.11.16_000\slice_000\cell_001\CC_IV_1_full_003\000\'</t>
  </si>
  <si>
    <t>G1</t>
  </si>
  <si>
    <t>C4</t>
  </si>
  <si>
    <t>R:\shared\CSSD016348\Public\Documents\acq4 data\ah918\GNE E3 E4\E3 DMSO\2023.11.16_000\slice_000\cell_005\CC_IV_1_full_002\000\'</t>
  </si>
  <si>
    <t>R:\shared\CSSD016348\Public\Documents\acq4 data\ah918\GNE E3 E4\E3 DMSO\2023.11.16_000\slice_000\cell_006\CC_IV_1_full_000+001+002\000\'</t>
  </si>
  <si>
    <t>R:\shared\CSSD016348\Public\Documents\acq4 data\ah918\GNE E3 E4\E3 DMSO\2023.11.16_000\slice_000\cell_009\CC_IV_1_full_005\000\'</t>
  </si>
  <si>
    <t>R:\shared\CSSD016348\Public\Documents\acq4 data\ah918\GNE E3 E4\E3 DMSO\2023.11.16_000\slice_000\cell_010\CC_IV_1_full_001\000\'</t>
  </si>
  <si>
    <t>R:\shared\CSSD016348\Public\Documents\acq4 data\ah918\GNE E3 E4\E3 DMSO\2023.11.16_000\slice_000\cell_014\CC_IV_1_full_003\000\'</t>
  </si>
  <si>
    <t>R:\shared\CSSD016348\Public\Documents\acq4 data\ah918\GNE E3 E4\E3 DMSO\2023.11.23_000\slice_000\cell_000\CC_IV_1_full_002\000\'</t>
  </si>
  <si>
    <t>R:\shared\CSSD016348\Public\Documents\acq4 data\ah918\GNE E3 E4\E3 DMSO\2023.11.23_000\slice_000\cell_001\CC_IV_1_full_000\000\'</t>
  </si>
  <si>
    <t>R:\shared\CSSD016348\Public\Documents\acq4 data\ah918\GNE E3 E4\E3 DMSO\2023.11.23_000\slice_000\cell_003\CC_IV_1_full_001\000\'</t>
  </si>
  <si>
    <t>R:\shared\CSSD016348\Public\Documents\acq4 data\ah918\GNE E3 E4\E3 DMSO\2023.11.23_000\slice_000\cell_006\CC_IV_1_full_002\000\'</t>
  </si>
  <si>
    <t>R:\shared\CSSD016348\Public\Documents\acq4 data\ah918\GNE E3 E4\E3 DMSO\2023.11.23_000\slice_000\cell_007\CC_IV_1_full_002\000\'</t>
  </si>
  <si>
    <t>R:\shared\CSSD016348\Public\Documents\acq4 data\ah918\GNE E3 E4\E3 DMSO\2023.11.23_000\slice_000\cell_009\CC_IV_1_full_000+003\000\'</t>
  </si>
  <si>
    <t>R:\shared\CSSD016348\Public\Documents\acq4 data\ah918\GNE E3 E4\E3 DMSO\2023.11.23_000\slice_000\cell_010\CC_IV_1_full_000+002\000\'</t>
  </si>
  <si>
    <t>R:\shared\CSSD016348\Public\Documents\acq4 data\ah918\GNE E3 E4\E3 DMSO\2024.02.02_000\slice_000\cell_000\CC_IV_1_full_000\000\'</t>
  </si>
  <si>
    <t>R:\shared\CSSD016348\Public\Documents\acq4 data\ah918\GNE E3 E4\E3 DMSO\2024.02.02_000\slice_000\cell_004\CC_IV_1_full_001\000\'</t>
  </si>
  <si>
    <t>R:\shared\CSSD016348\Public\Documents\acq4 data\ah918\GNE E3 E4\E3 DMSO\2024.02.02_000\slice_000\cell_005\CC_IV_1_full_000+001\000\'</t>
  </si>
  <si>
    <t>R:\shared\CSSD016348\Public\Documents\acq4 data\ah918\GNE E3 E4\E3 DMSO\2024.02.02_000\slice_000\cell_006\CC_IV_1_full_000+001\000\'</t>
  </si>
  <si>
    <t>R:\shared\CSSD016348\Public\Documents\acq4 data\ah918\GNE E3 E4\E3 DMSO\2024.02.02_000\slice_000\cell_007\CC_IV_1_full_001+002\000\'</t>
  </si>
  <si>
    <t>R:\shared\CSSD016348\Public\Documents\acq4 data\ah918\GNE E3 E4\E3 DMSO\2024.02.02_000\slice_000\cell_008\CC_IV_1_full_000+001\000\'</t>
  </si>
  <si>
    <t>R:\shared\CSSD016348\Public\Documents\acq4 data\ah918\GNE E3 E4\E3 DMSO\2024.02.02_000\slice_000\cell_010\CC_IV_1_full_001\000\'</t>
  </si>
  <si>
    <t>R:\shared\CSSD016348\Public\Documents\acq4 data\ah918\GNE E3 E4\E3 DMSO\2024.02.02_000\slice_000\cell_011\CC_IV_1_full_000+1+2\000\'</t>
  </si>
  <si>
    <t>R:\shared\CSSD016348\Public\Documents\acq4 data\ah918\GNE E3 E4\E3 DMSO\2024.02.02_000\slice_000\cell_012\CC_IV_1_full_000+1\000\'</t>
  </si>
  <si>
    <t>R:\shared\CSSD016348\Public\Documents\acq4 data\ah918\GNE E3 E4\E3 DMSO\2024.02.06_000\slice_000\cell_000\CC_IV_1_full_000\000\'</t>
  </si>
  <si>
    <t>R:\shared\CSSD016348\Public\Documents\acq4 data\ah918\GNE E3 E4\E3 DMSO\2024.02.06_000\slice_000\cell_001\CC_IV_1_full_000\000\'</t>
  </si>
  <si>
    <t>R:\shared\CSSD016348\Public\Documents\acq4 data\ah918\GNE E3 E4\E3 DMSO\2024.02.06_000\slice_000\cell_000+2\CC_IV_1_full_000\000\'</t>
  </si>
  <si>
    <t>R:\shared\CSSD016348\Public\Documents\acq4 data\ah918\GNE E3 E4\E3 DMSO\2024.02.06_000\slice_000\cell_004\CC_IV_1_full_000+2\000\'</t>
  </si>
  <si>
    <t>R:\shared\CSSD016348\Public\Documents\acq4 data\ah918\GNE E3 E4\E3 DMSO\2024.02.06_000\slice_000\cell_005\CC_IV_1_full_000\000\'</t>
  </si>
  <si>
    <t>R:\shared\CSSD016348\Public\Documents\acq4 data\ah918\GNE E3 E4\E3 DMSO\2024.02.06_000\slice_000\cell_006\CC_IV_1_full_000+2\000\'</t>
  </si>
  <si>
    <t>R:\shared\CSSD016348\Public\Documents\acq4 data\ah918\GNE E3 E4\E3 DMSO\2024.02.06_000\slice_000\cell_009\CC_IV_1_full_000+1\000\'</t>
  </si>
  <si>
    <t>R:\shared\CSSD016348\Public\Documents\acq4 data\ah918\GNE E3 E4\E3 DMSO\2024.02.06_000\slice_000\cell_010\CC_IV_1_full_000+1\000\'</t>
  </si>
  <si>
    <t>R:\shared\CSSD016348\Public\Documents\acq4 data\ah918\GNE E3 E4\E3 DMSO\2024.05.09_000\slice_000\cell_000\CC_IV_1_full_000+1\000\'</t>
  </si>
  <si>
    <t>R:\shared\CSSD016348\Public\Documents\acq4 data\ah918\GNE E3 E4\E3 DMSO\2024.05.09_000\slice_000\cell_001\CC_IV_1_full_000\000\'</t>
  </si>
  <si>
    <t>NaN</t>
  </si>
  <si>
    <t>R:\shared\CSSD016348\Public\Documents\acq4 data\ah918\GNE E3 E4\E3 DMSO\2024.05.09_000\slice_000\cell_003\CC_IV_1_full_002\000\'</t>
  </si>
  <si>
    <t>R:\shared\CSSD016348\Public\Documents\acq4 data\ah918\GNE E3 E4\E3 DMSO\2024.05.09_000\slice_001\cell_000\CC_IV_1_full_000\000\'</t>
  </si>
  <si>
    <t>R:\shared\CSSD016348\Public\Documents\acq4 data\ah918\GNE E3 E4\E3 DMSO\2024.05.09_000\slice_001\cell_001\CC_IV_1_full_000+1\000\'</t>
  </si>
  <si>
    <t>R:\shared\CSSD016348\Public\Documents\acq4 data\ah918\GNE E3 E4\E4 DMSO\2023.10.31_000\slice_000\cell_003\CC_IV_1_full_000+1+2+3\000\'</t>
  </si>
  <si>
    <t>G2</t>
  </si>
  <si>
    <t>R:\shared\CSSD016348\Public\Documents\acq4 data\ah918\GNE E3 E4\E4 DMSO\2023.10.31_000\slice_000\cell_005\CC_IV_1_full_000+1+2\000\'</t>
  </si>
  <si>
    <t>R:\shared\CSSD016348\Public\Documents\acq4 data\ah918\GNE E3 E4\E4 DMSO\2023.11.29_000\slice_000\cell_000\CC_IV_1_full_000+1\000\'</t>
  </si>
  <si>
    <t>R:\shared\CSSD016348\Public\Documents\acq4 data\ah918\GNE E3 E4\E4 DMSO\2023.11.29_000\slice_000\cell_001\CC_IV_1_full_000+1\000\'</t>
  </si>
  <si>
    <t>R:\shared\CSSD016348\Public\Documents\acq4 data\ah918\GNE E3 E4\E4 DMSO\2023.11.29_000\slice_000\cell_002\CC_IV_1_full_000\000\'</t>
  </si>
  <si>
    <t>R:\shared\CSSD016348\Public\Documents\acq4 data\ah918\GNE E3 E4\E4 DMSO\2023.11.29_000\slice_000\cell_003\CC_IV_1_full_000+1+2\000\'</t>
  </si>
  <si>
    <t>R:\shared\CSSD016348\Public\Documents\acq4 data\ah918\GNE E3 E4\E4 DMSO\2023.12.01_000\slice_000\cell_001\CC_IV_1_full_001+2\000\'</t>
  </si>
  <si>
    <t>R:\shared\CSSD016348\Public\Documents\acq4 data\ah918\GNE E3 E4\E4 DMSO\2023.12.01_000\slice_000\cell_003\CC_IV_1_full_001+2\000\'</t>
  </si>
  <si>
    <t>R:\shared\CSSD016348\Public\Documents\acq4 data\ah918\GNE E3 E4\E4 DMSO\2023.12.01_000\slice_000\cell_004\CC_IV_1_full_000+1\000\'</t>
  </si>
  <si>
    <t>R:\shared\CSSD016348\Public\Documents\acq4 data\ah918\GNE E3 E4\E4 DMSO\2023.12.01_000\slice_000\cell_005\CC_IV_1_full_000+1\000\'</t>
  </si>
  <si>
    <t>R:\shared\CSSD016348\Public\Documents\acq4 data\ah918\GNE E3 E4\E4 DMSO\2023.12.04_000\slice_001\cell_002\CC_IV_1_full_001\000\'</t>
  </si>
  <si>
    <t>R:\shared\CSSD016348\Public\Documents\acq4 data\ah918\GNE E3 E4\E4 DMSO\2023.12.04_000\slice_001\cell_003\CC_IV_1_full_001\000\'</t>
  </si>
  <si>
    <t>R:\shared\CSSD016348\Public\Documents\acq4 data\ah918\GNE E3 E4\E4 DMSO\2023.12.04_000\slice_001\cell_005\CC_IV_1_full_000+1\000\'</t>
  </si>
  <si>
    <t>R:\shared\CSSD016348\Public\Documents\acq4 data\ah918\GNE E3 E4\E4 DMSO\2023.12.04_000\slice_001\cell_006\CC_IV_1_full_000+1\000\'</t>
  </si>
  <si>
    <t>R:\shared\CSSD016348\Public\Documents\acq4 data\ah918\GNE E3 E4\E4 DMSO\2023.12.04_000\slice_001\cell_008\CC_IV_1_full_000+1\000\'</t>
  </si>
  <si>
    <t>R:\shared\CSSD016348\Public\Documents\acq4 data\ah918\GNE E3 E4\E4 DMSO\2024.05.09_000\slice_000\cell_000\CC_IV_1_full_002\000\'</t>
  </si>
  <si>
    <t>R:\shared\CSSD016348\Public\Documents\acq4 data\ah918\GNE E3 E4\E4 DMSO\2024.05.09_000\slice_000\cell_001\CC_IV_1_full_000\000\'</t>
  </si>
  <si>
    <t>R:\shared\CSSD016348\Public\Documents\acq4 data\ah918\GNE E3 E4\E4 DMSO\2024.05.09_000\slice_000\cell_002\CC_IV_1_full_002\000\'</t>
  </si>
  <si>
    <t>R:\shared\CSSD016348\Public\Documents\acq4 data\ah918\GNE E3 E4\E4 DMSO\2024.05.09_000\slice_000\cell_003\CC_IV_1_full_001+2\000\'</t>
  </si>
  <si>
    <t>R:\shared\CSSD016348\Public\Documents\acq4 data\ah918\GNE E3 E4\E4 DMSO\2024.05.09_000\slice_000\cell_004\CC_IV_1_full_001\000\'</t>
  </si>
  <si>
    <t>H:\ah918\10uM Ab42\E3\2025.02.24_000\slice_000\cell_001\CC_IV_1_full_001\000\'</t>
  </si>
  <si>
    <t>C5</t>
  </si>
  <si>
    <t>H:\ah918\10uM Ab42\E3\2025.02.24_000\slice_000\cell_002\CC_IV_1_full_000\000\'</t>
  </si>
  <si>
    <t>H:\ah918\10uM Ab42\E3\2025.02.24_000\slice_000\cell_003\CC_IV_1_full_000+1\000\'</t>
  </si>
  <si>
    <t>H:\ah918\10uM Ab42\E3\2025.02.24_000\slice_000\cell_004\CC_IV_1_full_000\000\'</t>
  </si>
  <si>
    <t>H:\ah918\10uM Ab42\E3\2025.02.24_000\slice_000\cell_005\CC_IV_1_full_000\000\'</t>
  </si>
  <si>
    <t>H:\ah918\10uM Ab42\E3\2025.02.24_000\slice_000\cell_006\CC_IV_1_full_000\000\'</t>
  </si>
  <si>
    <t>H:\ah918\10uM Ab42\E3\2025.02.24_000\slice_000\cell_007\CC_IV_1_full_000\000\'</t>
  </si>
  <si>
    <t>H:\ah918\10uM Ab42\E3\2025.02.24_000\slice_000\cell_008\CC_IV_1_full_002\000\'</t>
  </si>
  <si>
    <t>H:\ah918\10uM Ab42\E3\2025.02.24_000\slice_000\cell_009\CC_IV_1_full_000+1\000\'</t>
  </si>
  <si>
    <t>H:\ah918\10uM Ab42\E3\2025.02.26_000\slice_000\cell_000\CC_IV_1_full_000\000\'</t>
  </si>
  <si>
    <t>H:\ah918\10uM Ab42\E3\2025.02.27_000\slice_000\cell_000\CC_IV_1_full_000\000\'</t>
  </si>
  <si>
    <t>H:\ah918\10uM Ab42\E3\2025.02.27_000\slice_000\cell_001\CC_IV_1_full_000\000\'</t>
  </si>
  <si>
    <t>H:\ah918\10uM Ab42\E3\2025.02.27_000\slice_000\cell_002\CC_IV_1_full_000\000\'</t>
  </si>
  <si>
    <t>H:\ah918\10uM Ab42\E3\2025.02.27_000\slice_000\cell_003\CC_IV_1_full_000\000\'</t>
  </si>
  <si>
    <t>H:\ah918\10uM Ab42\E3\2025.02.27_000\slice_000\cell_004\CC_IV_1_full_000\000\'</t>
  </si>
  <si>
    <t>H:\ah918\10uM Ab42\E3\2025.02.27_000\slice_000\cell_005\CC_IV_1_full_000\000\'</t>
  </si>
  <si>
    <t>H:\ah918\10uM Ab42\E3\2025.02.27_000\slice_000\cell_006\CC_IV_1_full_000\000\'</t>
  </si>
  <si>
    <t>H:\ah918\10uM Ab42\E3\2025.02.27_000\slice_000\cell_007\CC_IV_1_full_000\000\'</t>
  </si>
  <si>
    <t>H:\ah918\10uM Ab42\E3\2025.02.27_000\slice_000\cell_008\CC_IV_1_full_003+4\000\'</t>
  </si>
  <si>
    <t>H:\ah918\10uM Ab42\E3\2025.02.27_000\slice_000\cell_009\CC_IV_1_full_000+1\000\'</t>
  </si>
  <si>
    <t>H:\ah918\10uM Ab42\E3\2025.02.27_000\slice_000\cell_010\CC_IV_1_full_000\000\'</t>
  </si>
  <si>
    <t>H:\ah918\10uM Ab42\E3\2025.02.27_000\slice_000\cell_011\CC_IV_1_full_000+1\000\'</t>
  </si>
  <si>
    <t>H:\ah918\10uM Ab42\E3\2025.02.27_000\slice_000\cell_012\CC_IV_1_full_000\000\'</t>
  </si>
  <si>
    <t>H:\ah918\10uM Ab42\E3\2025.02.27_000\slice_000\cell_013\CC_IV_1_full_001+2\000\'</t>
  </si>
  <si>
    <t>H:\ah918\10uM Ab42\E3\2025.05.27_000\slice_000\cell_000\CC_IV_1_full_000\000\'</t>
  </si>
  <si>
    <t>H:\ah918\10uM Ab42\E3\2025.06.18_000\slice_000\cell_001\CC_IV_1_full_003\000\'</t>
  </si>
  <si>
    <t>H:\ah918\10uM Ab42\E4\2025.03.17_000\slice_000\cell_000\CC_IV_1_full_000+1\000\'</t>
  </si>
  <si>
    <t>H:\ah918\10uM Ab42\E4\2025.03.17_000\slice_000\cell_001\CC_IV_1_full_001+2\000\'</t>
  </si>
  <si>
    <t>H:\ah918\10uM Ab42\E4\2025.03.17_000\slice_000\cell_002\CC_IV_1_full_001+3\000\'</t>
  </si>
  <si>
    <t>H:\ah918\10uM Ab42\E4\2025.03.17_000\slice_000\cell_003\CC_IV_1_full_001\000\'</t>
  </si>
  <si>
    <t>H:\ah918\10uM Ab42\E4\2025.03.17_000\slice_000\cell_004\CC_IV_1_full_001+2\000\'</t>
  </si>
  <si>
    <t>H:\ah918\10uM Ab42\E4\2025.03.17_000\slice_000\cell_005\CC_IV_1_full_001\000\'</t>
  </si>
  <si>
    <t>H:\ah918\10uM Ab42\E4\2025.03.17_000\slice_000\cell_006\CC_IV_1_full_001+2\000\'</t>
  </si>
  <si>
    <t>H:\ah918\10uM Ab42\E4\2025.03.17_000\slice_000\cell_007\CC_IV_1_full_000\000\'</t>
  </si>
  <si>
    <t>H:\ah918\10uM Ab42\E4\2025.03.17_000\slice_000\cell_008\CC_IV_1_full_000\000\'</t>
  </si>
  <si>
    <t>H:\ah918\10uM Ab42\E4\2025.03.17_000\slice_000\cell_009\CC_IV_1_full_000\000\'</t>
  </si>
  <si>
    <t>H:\ah918\10uM Ab42\E4\2025.03.17_000\slice_000\cell_010\CC_IV_1_full_000\000\'</t>
  </si>
  <si>
    <t>H:\ah918\10uM Ab42\E4\2025.03.17_000\slice_000\cell_011\CC_IV_1_full_000+1\000\'</t>
  </si>
  <si>
    <t>H:\ah918\10uM Ab42\E4\2025.03.17_000\slice_000\cell_012\CC_IV_1_full_000\000\'</t>
  </si>
  <si>
    <t>H:\ah918\10uM Ab42\E4\2025.03.17_000\slice_000\cell_013\CC_IV_1_full_001\000\'</t>
  </si>
  <si>
    <t>H:\ah918\10uM Ab42\E4\2025.03.17_000\slice_000\cell_014\CC_IV_1_full_001+3\000\'</t>
  </si>
  <si>
    <t>H:\ah918\10uM Ab42\E4\2025.03.17_000\slice_000\cell_015\CC_IV_1_full_000\000\'</t>
  </si>
  <si>
    <t>H:\ah918\10uM Ab42\E4\2025.03.17_000\slice_000\cell_016\CC_IV_1_full_000+1\000\'</t>
  </si>
  <si>
    <t>H:\ah918\10uM Ab42\E4\2025.03.18_000\slice_000\cell_001\CC_IV_1_full_001\000\'</t>
  </si>
  <si>
    <t>H:\ah918\10uM Ab42\E4\2025.03.18_000\slice_000\cell_002\CC_IV_1_full_000\000\'</t>
  </si>
  <si>
    <t>H:\ah918\10uM Ab42\E4\2025.03.18_000\slice_000\cell_003\CC_IV_1_full_000\000\'</t>
  </si>
  <si>
    <t>H:\ah918\10uM Ab42\E4\2025.03.18_000\slice_000\cell_004\CC_IV_1_full_000+3\000\'</t>
  </si>
  <si>
    <t>H:\ah918\10uM Ab42\E4\2025.03.18_000\slice_000\cell_006\CC_IV_1_full_000\000\'</t>
  </si>
  <si>
    <t>H:\ah918\10uM Ab42\E4\2025.03.18_000\slice_000\cell_007\CC_IV_1_full_004\000\'</t>
  </si>
  <si>
    <t>H:\ah918\10uM Ab42\E4\2025.03.18_000\slice_000\cell_010\CC_IV_1_full_000\000\'</t>
  </si>
  <si>
    <t>H:\ah918\10uM Ab42\E4\2025.03.18_000\slice_000\cell_012\CC_IV_1_full_000\000\'</t>
  </si>
  <si>
    <t>H:\ah918\10uM Ab42\E4\2025.03.18_000\slice_000\cell_013\CC_IV_1_full_001\000\'</t>
  </si>
  <si>
    <t>H:\ah918\10uM Ab42\E4\2025.06.19_000\slice_000\cell_000\CC_IV_1_full_000\000\'</t>
  </si>
  <si>
    <t>H:\ah918\10uM Ab42\E4\2025.06.19_000\slice_000\cell_001\CC_IV_1_full_000\000\'</t>
  </si>
  <si>
    <t>H:\ah918\10uM Ab42\E4\2025.06.19_000\slice_000\cell_003\CC_IV_1_full_000\000\'</t>
  </si>
  <si>
    <t>H:\ah918\10uM Abeta Var\E3\2025.02.25_000\slice_000\cell_001\CC_IV_1_full_000+1\000\'</t>
  </si>
  <si>
    <t>C6</t>
  </si>
  <si>
    <t>H:\ah918\10uM Abeta Var\E3\2025.02.25_000\slice_000\cell_002\CC_IV_1_full_000\000\'</t>
  </si>
  <si>
    <t>H:\ah918\10uM Abeta Var\E3\2025.02.25_000\slice_000\cell_004\CC_IV_1_full_000\000\'</t>
  </si>
  <si>
    <t>H:\ah918\10uM Abeta Var\E3\2025.02.25_000\slice_000\cell_005\CC_IV_1_full_000\000\'</t>
  </si>
  <si>
    <t>H:\ah918\10uM Abeta Var\E3\2025.02.25_000\slice_000\cell_007\CC_IV_1_full_000\000\'</t>
  </si>
  <si>
    <t>H:\ah918\10uM Abeta Var\E3\2025.02.25_000\slice_000\cell_008\CC_IV_1_full_001\000\'</t>
  </si>
  <si>
    <t>H:\ah918\10uM Abeta Var\E3\2025.02.28_000\slice_000\cell_000\CC_IV_1_full_005\000\'</t>
  </si>
  <si>
    <t>H:\ah918\10uM Abeta Var\E3\2025.02.28_000\slice_000\cell_001\CC_IV_1_full_000\000\'</t>
  </si>
  <si>
    <t>H:\ah918\10uM Abeta Var\E3\2025.02.28_000\slice_000\cell_002\CC_IV_1_full_001\000\'</t>
  </si>
  <si>
    <t>H:\ah918\10uM Abeta Var\E3\2025.02.28_000\slice_000\cell_003\CC_IV_1_full_000\000\'</t>
  </si>
  <si>
    <t>H:\ah918\10uM Abeta Var\E3\2025.02.28_000\slice_000\cell_004\CC_IV_1_full_000\000\'</t>
  </si>
  <si>
    <t>H:\ah918\10uM Abeta Var\E3\2025.02.28_000\slice_000\cell_005\CC_IV_1_full_000\000\'</t>
  </si>
  <si>
    <t>H:\ah918\10uM Abeta Var\E3\2025.02.28_000\slice_000\cell_006\CC_IV_1_full_000\000\'</t>
  </si>
  <si>
    <t>H:\ah918\10uM Abeta Var\E3\2025.02.28_000\slice_000\cell_009\CC_IV_1_full_000\000\'</t>
  </si>
  <si>
    <t>H:\ah918\10uM Abeta Var\E3\2025.05.28_000\slice_000\cell_004\CC_IV_1_full_001\000\'</t>
  </si>
  <si>
    <t>H:\ah918\10uM Abeta Var\E4\2025.03.20_000\slice_000\cell_000\CC_IV_1_full_001\000\'</t>
  </si>
  <si>
    <t>H:\ah918\10uM Abeta Var\E4\2025.03.20_000\slice_000\cell_001\CC_IV_1_full_002\000\'</t>
  </si>
  <si>
    <t>H:\ah918\10uM Abeta Var\E4\2025.03.20_000\slice_000\cell_004\CC_IV_1_full_000\000\'</t>
  </si>
  <si>
    <t>H:\ah918\10uM Abeta Var\E4\2025.03.20_000\slice_000\cell_006\CC_IV_1_full_001\000\'</t>
  </si>
  <si>
    <t>H:\ah918\10uM Abeta Var\E4\2025.03.20_000\slice_000\cell_007\CC_IV_1_full_000\000\'</t>
  </si>
  <si>
    <t>H:\ah918\10uM Abeta Var\E4\2025.03.20_000\slice_000\cell_008\CC_IV_1_full_000\000\'</t>
  </si>
  <si>
    <t>H:\ah918\10uM Abeta Var\E4\2025.03.20_000\slice_000\cell_009\CC_IV_1_full_000\000\'</t>
  </si>
  <si>
    <t>H:\ah918\10uM Abeta Var\E4\2025.03.20_000\slice_000\cell_010\CC_IV_1_full_000+1\000\'</t>
  </si>
  <si>
    <t>H:\ah918\10uM Abeta Var\E4\2025.03.20_000\slice_000\cell_011\CC_IV_1_full_000\000\'</t>
  </si>
  <si>
    <t>H:\ah918\10uM Abeta Var\E4\2025.03.21_000\slice_000\cell_001\CC_IV_1_full_002\000\'</t>
  </si>
  <si>
    <t>H:\ah918\10uM Abeta Var\E4\2025.06.02_000\cell_000\CC_IV_1_full_000\000\'</t>
  </si>
  <si>
    <t>H:\ah918\10uM Abeta Var\E4\2025.06.02_000\cell_001\CC_IV_1_full_000\000\'</t>
  </si>
  <si>
    <t>H:\ah918\10uM Abeta Var\E4\2025.06.02_000\site_000\cell_000\CC_IV_1_full_000\000\'</t>
  </si>
  <si>
    <t>H:\ah918\10uM Abeta Var\E4\2025.06.02_000\site_000\cell_001\CC_IV_1_full_000\000\'</t>
  </si>
  <si>
    <t>H:\ah918\10uM Abeta Var\E4\2025.06.02_000\site_000\cell_002\CC_IV_1_full_001\000\'</t>
  </si>
  <si>
    <t>H:\ah918\10uM Abeta Var\E4\2025.06.02_000\site_000\cell_003\CC_IV_1_full_001\000\'</t>
  </si>
  <si>
    <t>H:\ah918\10uM Abeta Var\E4\2025.06.02_000\site_000\cell_004\CC_IV_1_full_002\000\'</t>
  </si>
  <si>
    <t>H:\ah918\10uM Abeta Var\E4\2025.07.23_000\slice_000\site_000\CC_IV_1_full_001\000\'</t>
  </si>
  <si>
    <t>H:\ah918\10uM Abeta Var\E4\2025.07.23_000\slice_000\site_001\CC_IV_1_full_000+1\000\'</t>
  </si>
  <si>
    <t>H:\ah918\10uM Abeta Var\E4\2025.07.28_000\slice_000\cell_000\CC_IV_1_full_003\000\'</t>
  </si>
  <si>
    <t>H:\ah918\10uM Abeta Var\E4\2025.07.28_000\slice_000\cell_001\CC_IV_1_full_001\000\'</t>
  </si>
  <si>
    <t>H:\ah918\10uM Abeta Var\E4\2026.01.30_000\slice_000\cell_000\CC_IV_1_full_000\000\'</t>
  </si>
  <si>
    <t>H:\ah918\10uM Abeta Var\E4\2026.01.30_000\slice_000\cell_001\CC_IV_1_full_003\000\'</t>
  </si>
  <si>
    <t>H:\ah918\10uM Abeta Var\E4\2026.01.30_000\slice_000\cell_002\CC_IV_1_full_000\000\'</t>
  </si>
  <si>
    <t>H:\ah918\10uM Abeta Var\E4\2026.01.30_000\slice_000\cell_003\CC_IV_1_full_001\000\'</t>
  </si>
  <si>
    <t>H:\ah918\10uM Abeta Var\E4\2026.01.30_000\slice_000\cell_004\CC_IV_1_full_000\000\'</t>
  </si>
  <si>
    <t>H:\ah918\10uM Abeta Var\E4\2026.01.30_000\slice_000\cell_006\CC_IV_1_full_000\000\'</t>
  </si>
  <si>
    <t>H:\ah918\10uM Abeta Var\E4\2026.01.30_000\slice_000\cell_008\CC_IV_1_full_000\000\'</t>
  </si>
  <si>
    <t>H:\ah918\10uM Abeta Var\E4\2026.02.06_000\slice_000\cell_003\CC_IV_1_full_000\000\'</t>
  </si>
  <si>
    <t>H:\ah918\10uM Abeta Var\E4\2026.02.06_000\slice_000\cell_004\CC_IV_1_full_000\000\'</t>
  </si>
  <si>
    <t>H:\ah918\10uM Abeta Var\E4\2026.02.06_000\slice_000\cell_005\CC_IV_1_full_000\000\'</t>
  </si>
  <si>
    <t>H:\ah918\10uM Abeta Var\E4\2026.02.06_000\slice_000\cell_006\CC_IV_1_full_003\000\'</t>
  </si>
  <si>
    <t>H:\ah918\10uM Abeta Var\E4\2026.02.06_000\slice_000\cell_007\CC_IV_1_full_000\000\'</t>
  </si>
  <si>
    <t>H:\ah918\10uM Abeta Var\E4\2026.02.06_000\slice_000\cell_008\CC_IV_1_full_000\000\'</t>
  </si>
  <si>
    <t>H:\ah918\10uM Abeta Var\E4\2026.02.06_000\slice_000\cell_009\CC_IV_1_full_000\000\'</t>
  </si>
  <si>
    <t>H:\ah918\10uM Abeta Var\E4\2026.02.06_000\slice_000\cell_010\CC_IV_1_full_000\000\'</t>
  </si>
  <si>
    <t>H:\ah918\10uM Abeta Var\E4\2026.02.06_000 e4\2026.02.06_000\slice_000\cell_000\CC_IV_1_full_000\000\'</t>
  </si>
  <si>
    <t>H:\ah918\10uM Abeta Var\E4\2026.02.06_000 e4\2026.02.06_000\slice_000\cell_001\CC_IV_1_full_000\000\'</t>
  </si>
  <si>
    <t>H:\ah918\10uM Abeta Var\E4\2026.02.06_000 e4\2026.02.06_000\slice_000\cell_005\CC_IV_1_full_000\000\'</t>
  </si>
  <si>
    <t>stable rmp</t>
  </si>
  <si>
    <t>afterhyper</t>
  </si>
  <si>
    <t>reason</t>
  </si>
  <si>
    <t>R:\shared\CSSD016348\Public\Documents\acq4 data\ah918\GNE E3 E4\E3 DMSO\2024.02.02_000\slice_000\cell_001\CC_IV_1_full_001\000\'</t>
  </si>
  <si>
    <t>.</t>
  </si>
  <si>
    <t xml:space="preserve">n </t>
  </si>
  <si>
    <t>not includong this as it shot up in between, row 21 on orig</t>
  </si>
  <si>
    <t>R:\shared\CSSD016348\Public\Documents\acq4 data\ah918\GNE E3 E4\E3 DMSO\2024.02.02_000\slice_000\cell_007\CC_IV_1_full_000\000\'</t>
  </si>
  <si>
    <t>**</t>
  </si>
  <si>
    <t>thresh looks dodgy and amplitud is weird on this one, row 27 on orig, but have two other recordings from this one</t>
  </si>
  <si>
    <t>R:\shared\CSSD016348\Public\Documents\acq4 data\ah918\GNE E3 E4\E3 DMSO\2024.02.02_000\slice_000\cell_010\CC_IV_1_full_000\000\'</t>
  </si>
  <si>
    <t xml:space="preserve">not sure check - point was 49, row 32 on orig, used other recording that i had </t>
  </si>
  <si>
    <t>R:\shared\CSSD016348\Public\Documents\acq4 data\ah918\GNE E3 E4\E3 DMSO\2024.02.06_000\slice_000\cell_006\CC_IV_1_full_001\000\'</t>
  </si>
  <si>
    <t>cant work out thresh, row 47 in orig, had two other recordings from same cell</t>
  </si>
  <si>
    <t>R:\shared\CSSD016348\Public\Documents\acq4 data\ah918\GNE E3 E4\E3 DMSO\2024.02.06_000\slice_000\cell_011\CC_IV_1_full_000\000\'</t>
  </si>
  <si>
    <t>cant work out thresh ,row 53 in orig</t>
  </si>
  <si>
    <t>R:\shared\CSSD016348\Public\Documents\acq4 data\ah918\GNE E3 E4\E3 DMSO\2024.05.09_000\slice_001\cell_000\CC_IV_1_full_001\000\'</t>
  </si>
  <si>
    <t>cantt work out thresh, row 59 orig, had one other 18 recording</t>
  </si>
  <si>
    <t>R:\shared\CSSD016348\Public\Documents\acq4 data\ah918\GNE E3 E4\E4 DMSO\2023.12.04_000\slice_001\cell_007\CC_IV_1_full_000\000\'</t>
  </si>
  <si>
    <t>no, row 91 on orig</t>
  </si>
  <si>
    <t>H:\ah918\10uM Ab42\E3\2025.02.27_000\slice_000\cell_001\CC_IV_1_full_001\000\'</t>
  </si>
  <si>
    <t>rh is 0 need to check graph, it is the second measurment for cell 35 in orig data (row 114)</t>
  </si>
  <si>
    <t>H:\ah918\10uM Ab42\E4\2025.03.17_000\slice_000\cell_004\CC_IV_1_full_000\000\'</t>
  </si>
  <si>
    <t>cant find, row 140 on orig, have two others of cell 43 tho</t>
  </si>
  <si>
    <t>H:\ah918\10uM Ab42\E4\2025.03.18_000\slice_000\cell_007\CC_IV_1_full_003\000\'</t>
  </si>
  <si>
    <t>row 167 in orig, another recording for this cell</t>
  </si>
  <si>
    <t>H:\ah918\10uM Ab42\E4\2025.03.18_000\slice_000\cell_013\CC_IV_1_full_000\000\'</t>
  </si>
  <si>
    <t>vals dont match, cant find the data do have another cell, row 171 in orig</t>
  </si>
  <si>
    <t>H:\ah918\10uM Abeta Var\E3\2025.02.25_000\slice_000\cell_008\CC_IV_1_full_002\000\'</t>
  </si>
  <si>
    <t>no thrsg, row 183, another 53 cell tho</t>
  </si>
  <si>
    <t>H:\ah918\10uM Abeta Var\E3\2025.05.28_000\slice_000\cell_000\CC_IV_1_full_000\000\'</t>
  </si>
  <si>
    <t>rh is 0 need to check graph,  orig data (row 192)</t>
  </si>
  <si>
    <t>H:\ah918\10uM Abeta Var\E4\2025.03.20_000\slice_000\cell_008\CC_IV_1_full_001\000\'</t>
  </si>
  <si>
    <t>unstable rmp, row 200 orig, do have a 54 i can use</t>
  </si>
  <si>
    <t>H:\ah918\10uM Abeta Var\E4\2025.06.20_000\slice_000\cell_000\CC_IV_1_full_000\000\'</t>
  </si>
  <si>
    <t>row213 orig, need to calc rh- wanst too sure</t>
  </si>
  <si>
    <t>H:\ah918\10uM Abeta Var\E4\2025.07.28_000\slice_000\cell_000\CC_IV_1_full_002\000\'</t>
  </si>
  <si>
    <t>for data after row 217 orig, couldn't find the istep and when i ran it numbers were diff, there is anothe one for cell 57</t>
  </si>
  <si>
    <t>H:\ah918\10uM Abeta Var\E4\2026.01.30_000\slice_000\cell_005\CC_IV_1_full_000\000\'</t>
  </si>
  <si>
    <t>for data after row 217 orig, couldn't find the istep and when i ran it numbers were diff, orig 225</t>
  </si>
  <si>
    <t>H:\ah918\10uM Abeta Var\E4\2026.01.30_000\slice_000\cell_007\CC_IV_1_full_000\000\'</t>
  </si>
  <si>
    <t>orig 227</t>
  </si>
  <si>
    <t>H:\ah918\10uM Abeta Var\E4\2026.02.06_000\slice_000\cell_002\CC_IV_1_full_000\000\'</t>
  </si>
  <si>
    <t>orig 229</t>
  </si>
  <si>
    <t>H:\ah918\10uM Abeta Var\E4\2026.02.06_000\slice_000\cell_011\CC_IV_1_full_001\000\'</t>
  </si>
  <si>
    <t>numbers were diff when i ran it orig row 238</t>
  </si>
  <si>
    <t>H:\ah918\10uM Abeta Var\E4\2026.02.06_000 e4\2026.02.06_000\slice_000\cell_006\CC_IV_1_full_000\000\'</t>
  </si>
  <si>
    <t>numbers were diff when i ran it  orig row 242</t>
  </si>
  <si>
    <t>e3</t>
  </si>
  <si>
    <t>e4</t>
  </si>
  <si>
    <t>z_peak</t>
  </si>
  <si>
    <t>z_afterhyp</t>
  </si>
  <si>
    <t>z_amp</t>
  </si>
  <si>
    <t>z_thresh</t>
  </si>
  <si>
    <t>z_half</t>
  </si>
  <si>
    <t>z-rise</t>
  </si>
  <si>
    <t>z_fall</t>
  </si>
  <si>
    <t>z_Rh</t>
  </si>
  <si>
    <t>z_sag</t>
  </si>
  <si>
    <t>z_RMP</t>
  </si>
  <si>
    <t>z_maxApnum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</si>
</sst>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00000"/>
      <name val="Aptos Narrow"/>
    </font>
    <font>
      <sz val="12"/>
      <color rgb="FF000000"/>
      <name val="Aptos Narrow"/>
    </font>
    <font>
      <sz val="12"/>
      <color theme="1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2" xfId="0" applyBorder="1"/>
    <xf numFmtId="0" fontId="1" fillId="0" borderId="0" xfId="0" applyFont="1"/>
    <xf numFmtId="0" fontId="2" fillId="0" borderId="0" xfId="0" applyFont="1"/>
    <xf numFmtId="0" fontId="2" fillId="0" borderId="2" xfId="0" applyFont="1" applyBorder="1"/>
    <xf numFmtId="0" fontId="3" fillId="0" borderId="0" xfId="0" applyFont="1"/>
    <xf numFmtId="0" fontId="0" fillId="0" borderId="0" xfId="0" quotePrefix="1"/>
    <xf numFmtId="0" fontId="0" fillId="0" borderId="1" xfId="0" applyBorder="1"/>
    <xf numFmtId="0" fontId="0" fillId="0" borderId="0" xfId="0" applyAlignment="1">
      <alignment horizontal="right"/>
    </xf>
    <xf numFmtId="0" fontId="3" fillId="0" borderId="2" xfId="0" applyFont="1" applyBorder="1"/>
    <xf numFmtId="0" fontId="0" fillId="2" borderId="0" xfId="0" applyFill="1"/>
    <xf numFmtId="0" fontId="0" fillId="3" borderId="0" xfId="0" applyFill="1"/>
    <xf numFmtId="0" fontId="3" fillId="4" borderId="0" xfId="0" applyFont="1" applyFill="1"/>
    <xf numFmtId="0" fontId="0" fillId="5" borderId="0" xfId="0" applyFill="1"/>
    <xf numFmtId="0" fontId="0" fillId="4" borderId="0" xfId="0" applyFill="1"/>
    <xf numFmtId="0" fontId="0" fillId="2" borderId="0" xfId="0" quotePrefix="1" applyFill="1"/>
  </cellXfs>
  <cellStyles count="1">
    <cellStyle name="Normal" xfId="0" builtinId="0"/>
  </cellStyles>
  <dxfs count="16">
    <dxf>
      <font>
        <color theme="1"/>
      </font>
      <fill>
        <patternFill patternType="solid">
          <bgColor theme="3" tint="0.749992370372631"/>
        </patternFill>
      </fill>
    </dxf>
    <dxf>
      <font>
        <color theme="1"/>
      </font>
      <fill>
        <patternFill patternType="solid">
          <bgColor theme="3" tint="0.749992370372631"/>
        </patternFill>
      </fill>
    </dxf>
    <dxf>
      <font>
        <color theme="1"/>
      </font>
      <fill>
        <patternFill patternType="solid">
          <bgColor theme="3" tint="0.749992370372631"/>
        </patternFill>
      </fill>
    </dxf>
    <dxf>
      <font>
        <color theme="1"/>
      </font>
      <fill>
        <patternFill patternType="solid">
          <bgColor theme="3" tint="0.74999237037263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65"/>
  <sheetViews>
    <sheetView workbookViewId="0">
      <selection sqref="A1:XFD1048576"/>
    </sheetView>
  </sheetViews>
  <sheetFormatPr baseColWidth="10" defaultColWidth="9.1640625" defaultRowHeight="16" x14ac:dyDescent="0.2"/>
  <cols>
    <col min="1" max="5" width="9.1640625" style="5"/>
    <col min="6" max="6" width="9.1640625" style="9"/>
    <col min="7" max="7" width="9.33203125" style="5" bestFit="1" customWidth="1"/>
    <col min="8" max="8" width="9.83203125" style="5" bestFit="1" customWidth="1"/>
    <col min="9" max="9" width="9.33203125" style="5" bestFit="1" customWidth="1"/>
    <col min="10" max="10" width="9.83203125" style="5" bestFit="1" customWidth="1"/>
    <col min="11" max="12" width="9.33203125" style="5" bestFit="1" customWidth="1"/>
    <col min="13" max="13" width="9.83203125" style="5" bestFit="1" customWidth="1"/>
    <col min="14" max="14" width="10.33203125" style="5" bestFit="1" customWidth="1"/>
    <col min="15" max="16" width="9.33203125" style="5" bestFit="1" customWidth="1"/>
    <col min="17" max="17" width="9.83203125" style="5" bestFit="1" customWidth="1"/>
    <col min="18" max="19" width="9.33203125" style="5" bestFit="1" customWidth="1"/>
    <col min="20" max="16384" width="9.1640625" style="5"/>
  </cols>
  <sheetData>
    <row r="1" spans="1:22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/>
      <c r="U1" s="3"/>
      <c r="V1" s="3"/>
    </row>
    <row r="2" spans="1:22" x14ac:dyDescent="0.2">
      <c r="A2" s="3" t="s">
        <v>19</v>
      </c>
      <c r="B2" s="3"/>
      <c r="C2" s="3"/>
      <c r="D2" s="3">
        <v>1</v>
      </c>
      <c r="E2" s="3" t="s">
        <v>20</v>
      </c>
      <c r="F2" s="4" t="s">
        <v>21</v>
      </c>
      <c r="G2" s="3">
        <v>42.014099469999998</v>
      </c>
      <c r="H2" s="3">
        <v>-9.8321646479999991</v>
      </c>
      <c r="I2" s="3">
        <v>95.394978440000003</v>
      </c>
      <c r="J2" s="3">
        <v>-53.380878969999998</v>
      </c>
      <c r="K2" s="3">
        <v>1.799017375</v>
      </c>
      <c r="L2" s="3">
        <v>189.20648748000002</v>
      </c>
      <c r="M2" s="3">
        <v>-42.581119239999992</v>
      </c>
      <c r="N2" s="3">
        <v>191.0619082</v>
      </c>
      <c r="O2" s="3">
        <v>19</v>
      </c>
      <c r="P2" s="3">
        <v>5.5345689589999996</v>
      </c>
      <c r="Q2" s="3">
        <v>-67.315520559999996</v>
      </c>
      <c r="R2" s="3">
        <v>14</v>
      </c>
      <c r="S2" s="3">
        <v>0.72569088999999998</v>
      </c>
      <c r="T2" s="3"/>
      <c r="U2" s="3">
        <f>AVERAGE(G2:G36,G57:G82,G112:G126)</f>
        <v>47.394603155690319</v>
      </c>
      <c r="V2" s="2" t="s">
        <v>237</v>
      </c>
    </row>
    <row r="3" spans="1:22" x14ac:dyDescent="0.2">
      <c r="A3" s="3" t="s">
        <v>22</v>
      </c>
      <c r="B3" s="3"/>
      <c r="C3" s="3"/>
      <c r="D3" s="3">
        <v>2</v>
      </c>
      <c r="E3" s="3" t="s">
        <v>20</v>
      </c>
      <c r="F3" s="4" t="s">
        <v>21</v>
      </c>
      <c r="G3" s="3">
        <v>29.479699109999999</v>
      </c>
      <c r="H3" s="3">
        <v>-19.335494669999999</v>
      </c>
      <c r="I3" s="3">
        <v>80.99201592</v>
      </c>
      <c r="J3" s="3">
        <v>-51.512316810000002</v>
      </c>
      <c r="K3" s="3">
        <v>0.46151235099999999</v>
      </c>
      <c r="L3" s="3">
        <v>323.38555227999996</v>
      </c>
      <c r="M3" s="3">
        <v>-189.05013656</v>
      </c>
      <c r="N3" s="3">
        <v>75.807041709999993</v>
      </c>
      <c r="O3" s="3">
        <v>259</v>
      </c>
      <c r="P3" s="3">
        <v>0.52304198800000001</v>
      </c>
      <c r="Q3" s="3">
        <v>-73.475911330000002</v>
      </c>
      <c r="R3" s="3">
        <v>3</v>
      </c>
      <c r="S3" s="3">
        <v>1</v>
      </c>
      <c r="T3" s="3"/>
      <c r="U3" s="3">
        <f>AVERAGE(G37:G56, G83:G111,G127:G165)</f>
        <v>41.092994607080918</v>
      </c>
      <c r="V3" s="2" t="s">
        <v>238</v>
      </c>
    </row>
    <row r="4" spans="1:22" x14ac:dyDescent="0.2">
      <c r="A4" s="3" t="s">
        <v>23</v>
      </c>
      <c r="D4" s="5">
        <v>3</v>
      </c>
      <c r="E4" s="5" t="s">
        <v>20</v>
      </c>
      <c r="F4" s="9" t="s">
        <v>21</v>
      </c>
      <c r="G4" s="5">
        <v>50.634652616666671</v>
      </c>
      <c r="H4" s="5">
        <v>-8.7031643176666673</v>
      </c>
      <c r="I4" s="5">
        <v>100.42614622666667</v>
      </c>
      <c r="J4" s="5">
        <v>-49.791493636666672</v>
      </c>
      <c r="K4" s="5">
        <v>1.6572900353333333</v>
      </c>
      <c r="L4" s="5">
        <v>292.21720690666666</v>
      </c>
      <c r="M4" s="5">
        <v>-46.814732600000006</v>
      </c>
      <c r="N4" s="5">
        <v>105.376371143333</v>
      </c>
      <c r="O4" s="5">
        <v>146.33333333333334</v>
      </c>
      <c r="P4" s="5">
        <v>7.5191665906666669</v>
      </c>
      <c r="Q4" s="5">
        <v>-75.074436896666668</v>
      </c>
      <c r="R4" s="5">
        <v>16</v>
      </c>
      <c r="S4" s="5">
        <v>0.49787691000000001</v>
      </c>
    </row>
    <row r="5" spans="1:22" x14ac:dyDescent="0.2">
      <c r="A5" s="3" t="s">
        <v>24</v>
      </c>
      <c r="B5" s="3"/>
      <c r="C5" s="3"/>
      <c r="D5" s="3">
        <v>4</v>
      </c>
      <c r="E5" s="3" t="s">
        <v>20</v>
      </c>
      <c r="F5" s="4" t="s">
        <v>21</v>
      </c>
      <c r="G5" s="3">
        <v>38.141035459999998</v>
      </c>
      <c r="H5" s="3">
        <v>-8.7470099720000007</v>
      </c>
      <c r="I5" s="3">
        <v>100.29462169999999</v>
      </c>
      <c r="J5" s="3">
        <v>-62.153586259999997</v>
      </c>
      <c r="K5" s="3">
        <v>1.6783707370000001</v>
      </c>
      <c r="L5" s="3">
        <v>264.44895775999998</v>
      </c>
      <c r="M5" s="3">
        <v>-49.430451599999998</v>
      </c>
      <c r="N5" s="3">
        <v>-79.029081980000001</v>
      </c>
      <c r="O5" s="3">
        <v>100</v>
      </c>
      <c r="P5" s="3">
        <v>13.752832079999999</v>
      </c>
      <c r="Q5" s="3">
        <v>-86.849219840000004</v>
      </c>
      <c r="R5" s="3">
        <v>18</v>
      </c>
      <c r="S5" s="3">
        <v>0.43466898999999998</v>
      </c>
      <c r="T5" s="3"/>
      <c r="U5" s="3"/>
      <c r="V5" s="3"/>
    </row>
    <row r="6" spans="1:22" x14ac:dyDescent="0.2">
      <c r="A6" s="3" t="s">
        <v>25</v>
      </c>
      <c r="B6" s="3"/>
      <c r="C6" s="3"/>
      <c r="D6" s="3">
        <v>5</v>
      </c>
      <c r="E6" s="3" t="s">
        <v>20</v>
      </c>
      <c r="F6" s="4" t="s">
        <v>21</v>
      </c>
      <c r="G6" s="3">
        <v>65.206105600000001</v>
      </c>
      <c r="H6" s="3">
        <v>-9.7992793230000004</v>
      </c>
      <c r="I6" s="3">
        <v>96.151283710000001</v>
      </c>
      <c r="J6" s="3">
        <v>-30.945178110000001</v>
      </c>
      <c r="K6" s="3">
        <v>1.5906107350000001</v>
      </c>
      <c r="L6" s="3">
        <v>279.29031636000002</v>
      </c>
      <c r="M6" s="3">
        <v>-47.036524799999995</v>
      </c>
      <c r="N6" s="3">
        <v>132.36098960000001</v>
      </c>
      <c r="O6" s="3">
        <v>120</v>
      </c>
      <c r="P6" s="3">
        <v>9.2574598560000005</v>
      </c>
      <c r="Q6" s="3">
        <v>-55.044617049999999</v>
      </c>
      <c r="R6" s="3">
        <v>14</v>
      </c>
      <c r="S6" s="3">
        <v>0.41702668399999998</v>
      </c>
      <c r="T6" s="3"/>
      <c r="U6" s="3"/>
      <c r="V6" s="3"/>
    </row>
    <row r="7" spans="1:22" x14ac:dyDescent="0.2">
      <c r="A7" s="3" t="s">
        <v>26</v>
      </c>
      <c r="B7" s="3"/>
      <c r="C7" s="3"/>
      <c r="D7" s="3">
        <v>6</v>
      </c>
      <c r="E7" s="5" t="s">
        <v>20</v>
      </c>
      <c r="F7" s="9" t="s">
        <v>21</v>
      </c>
      <c r="G7" s="3">
        <v>39.163756280000001</v>
      </c>
      <c r="H7" s="3">
        <v>-10.06234972</v>
      </c>
      <c r="I7" s="3">
        <v>101.379775</v>
      </c>
      <c r="J7" s="3">
        <v>-62.21601871</v>
      </c>
      <c r="K7" s="3">
        <v>1.5486281070000001</v>
      </c>
      <c r="L7" s="3">
        <v>319.46301612000002</v>
      </c>
      <c r="M7" s="3">
        <v>-50.546610440000002</v>
      </c>
      <c r="N7" s="3">
        <v>140.99600839999999</v>
      </c>
      <c r="O7" s="3">
        <v>100</v>
      </c>
      <c r="P7" s="3">
        <v>13.466889159999999</v>
      </c>
      <c r="Q7" s="3">
        <v>-84.849326430000005</v>
      </c>
      <c r="R7" s="3">
        <v>17</v>
      </c>
      <c r="S7" s="3">
        <v>0.59344132800000005</v>
      </c>
      <c r="T7" s="3"/>
      <c r="U7" s="3"/>
      <c r="V7" s="3"/>
    </row>
    <row r="8" spans="1:22" x14ac:dyDescent="0.2">
      <c r="A8" s="3" t="s">
        <v>27</v>
      </c>
      <c r="B8" s="3"/>
      <c r="C8" s="3"/>
      <c r="D8" s="5">
        <v>7</v>
      </c>
      <c r="E8" s="3" t="s">
        <v>20</v>
      </c>
      <c r="F8" s="4" t="s">
        <v>21</v>
      </c>
      <c r="G8" s="3">
        <v>53.616334639999998</v>
      </c>
      <c r="H8" s="3">
        <v>-16.14579355</v>
      </c>
      <c r="I8" s="3">
        <v>90.791281749999996</v>
      </c>
      <c r="J8" s="3">
        <v>-37.174947109999998</v>
      </c>
      <c r="K8" s="3">
        <v>1.588570204</v>
      </c>
      <c r="L8" s="3">
        <v>240.18092039999999</v>
      </c>
      <c r="M8" s="3">
        <v>-55.162034919999996</v>
      </c>
      <c r="N8" s="3">
        <v>94.829873719999995</v>
      </c>
      <c r="O8" s="3">
        <v>200</v>
      </c>
      <c r="P8" s="3">
        <v>12.53636133</v>
      </c>
      <c r="Q8" s="3">
        <v>-64.947469780000006</v>
      </c>
      <c r="R8" s="3">
        <v>12</v>
      </c>
      <c r="S8" s="3">
        <v>0.409090909</v>
      </c>
      <c r="T8" s="3"/>
      <c r="U8" s="3"/>
      <c r="V8" s="3"/>
    </row>
    <row r="9" spans="1:22" x14ac:dyDescent="0.2">
      <c r="A9" s="3" t="s">
        <v>28</v>
      </c>
      <c r="B9" s="3"/>
      <c r="C9" s="3"/>
      <c r="D9" s="3">
        <v>8</v>
      </c>
      <c r="E9" s="3" t="s">
        <v>20</v>
      </c>
      <c r="F9" s="4" t="s">
        <v>21</v>
      </c>
      <c r="G9" s="3">
        <v>56.358477899999997</v>
      </c>
      <c r="H9" s="3">
        <v>-17.625550659999998</v>
      </c>
      <c r="I9" s="3">
        <v>91.087232489999991</v>
      </c>
      <c r="J9" s="3">
        <v>-34.728754589999994</v>
      </c>
      <c r="K9" s="3">
        <v>1.6588442765</v>
      </c>
      <c r="L9" s="3">
        <v>200.36998791999997</v>
      </c>
      <c r="M9" s="3">
        <v>-49.757209680000003</v>
      </c>
      <c r="N9" s="3">
        <v>-72.807624629999992</v>
      </c>
      <c r="O9" s="3">
        <v>179.5</v>
      </c>
      <c r="P9" s="3">
        <v>7.550946562</v>
      </c>
      <c r="Q9" s="3">
        <v>-62.437305780000003</v>
      </c>
      <c r="R9" s="3">
        <v>12</v>
      </c>
      <c r="S9" s="3">
        <v>0.62321714049999999</v>
      </c>
      <c r="T9" s="3"/>
      <c r="U9" s="3"/>
      <c r="V9" s="3"/>
    </row>
    <row r="10" spans="1:22" x14ac:dyDescent="0.2">
      <c r="A10" s="3" t="s">
        <v>29</v>
      </c>
      <c r="B10" s="3"/>
      <c r="C10" s="3"/>
      <c r="D10" s="3">
        <v>9</v>
      </c>
      <c r="E10" s="5" t="s">
        <v>20</v>
      </c>
      <c r="F10" s="9" t="s">
        <v>21</v>
      </c>
      <c r="G10" s="3">
        <v>56.194060559999997</v>
      </c>
      <c r="H10" s="3">
        <v>-16.44174456</v>
      </c>
      <c r="I10" s="3">
        <v>88.456553600000007</v>
      </c>
      <c r="J10" s="3">
        <v>-32.262493040000003</v>
      </c>
      <c r="K10" s="3">
        <v>1.6768025499999999</v>
      </c>
      <c r="L10" s="3">
        <v>213.14471835999998</v>
      </c>
      <c r="M10" s="3">
        <v>-48.308818560000006</v>
      </c>
      <c r="N10" s="3">
        <v>-77.913109270000007</v>
      </c>
      <c r="O10" s="3">
        <v>140</v>
      </c>
      <c r="P10" s="3">
        <v>10.761325599999999</v>
      </c>
      <c r="Q10" s="3">
        <v>-61.831145630000002</v>
      </c>
      <c r="R10" s="3">
        <v>12</v>
      </c>
      <c r="S10" s="3">
        <v>0.39376139399999999</v>
      </c>
      <c r="T10" s="3"/>
      <c r="U10" s="3"/>
      <c r="V10" s="3"/>
    </row>
    <row r="11" spans="1:22" x14ac:dyDescent="0.2">
      <c r="A11" s="3" t="s">
        <v>30</v>
      </c>
      <c r="B11" s="3"/>
      <c r="C11" s="3"/>
      <c r="D11" s="3">
        <v>10</v>
      </c>
      <c r="E11" s="3" t="s">
        <v>20</v>
      </c>
      <c r="F11" s="4" t="s">
        <v>21</v>
      </c>
      <c r="G11" s="3">
        <v>49.979084899999997</v>
      </c>
      <c r="H11" s="3">
        <v>-10.588484040000001</v>
      </c>
      <c r="I11" s="3">
        <v>91.71202255</v>
      </c>
      <c r="J11" s="3">
        <v>-41.732937649999997</v>
      </c>
      <c r="K11" s="3">
        <v>1.4710972019999999</v>
      </c>
      <c r="L11" s="3">
        <v>214.46006619999997</v>
      </c>
      <c r="M11" s="3">
        <v>-51.634710000000005</v>
      </c>
      <c r="N11" s="3">
        <v>-86.917629169999998</v>
      </c>
      <c r="O11" s="3">
        <v>200</v>
      </c>
      <c r="P11" s="3">
        <v>5.4100967779999998</v>
      </c>
      <c r="Q11" s="3">
        <v>-65.900275399999998</v>
      </c>
      <c r="R11" s="3">
        <v>12</v>
      </c>
      <c r="S11" s="3">
        <v>0.62013536400000002</v>
      </c>
      <c r="T11" s="3"/>
      <c r="U11" s="3"/>
      <c r="V11" s="3"/>
    </row>
    <row r="12" spans="1:22" x14ac:dyDescent="0.2">
      <c r="A12" s="3" t="s">
        <v>31</v>
      </c>
      <c r="B12" s="3"/>
      <c r="C12" s="3"/>
      <c r="D12" s="5">
        <v>11</v>
      </c>
      <c r="E12" s="3" t="s">
        <v>20</v>
      </c>
      <c r="F12" s="4" t="s">
        <v>21</v>
      </c>
      <c r="G12" s="3">
        <v>53.760683870000001</v>
      </c>
      <c r="H12" s="3">
        <v>-25.517588100000001</v>
      </c>
      <c r="I12" s="3">
        <v>84.148818169999998</v>
      </c>
      <c r="J12" s="3">
        <v>-30.38813429</v>
      </c>
      <c r="K12" s="3">
        <v>1.405451464</v>
      </c>
      <c r="L12" s="3">
        <v>209.85637824000003</v>
      </c>
      <c r="M12" s="3">
        <v>-61.434076600000004</v>
      </c>
      <c r="N12" s="3">
        <v>-50.771133939999999</v>
      </c>
      <c r="O12" s="3">
        <v>100</v>
      </c>
      <c r="P12" s="3">
        <v>11.053850410000001</v>
      </c>
      <c r="Q12" s="3">
        <v>-59.269719819999999</v>
      </c>
      <c r="R12" s="3">
        <v>12</v>
      </c>
      <c r="S12" s="3">
        <v>0.32664015899999999</v>
      </c>
      <c r="T12" s="3"/>
      <c r="U12" s="3"/>
      <c r="V12" s="3"/>
    </row>
    <row r="13" spans="1:22" x14ac:dyDescent="0.2">
      <c r="A13" s="3" t="s">
        <v>32</v>
      </c>
      <c r="B13" s="3"/>
      <c r="C13" s="3"/>
      <c r="D13" s="3">
        <v>12</v>
      </c>
      <c r="E13" s="5" t="s">
        <v>20</v>
      </c>
      <c r="F13" s="9" t="s">
        <v>21</v>
      </c>
      <c r="G13" s="3">
        <v>54.878721814999999</v>
      </c>
      <c r="H13" s="3">
        <v>-9.8486054349999996</v>
      </c>
      <c r="I13" s="3">
        <v>95.756688735000012</v>
      </c>
      <c r="J13" s="3">
        <v>-40.877966924999996</v>
      </c>
      <c r="K13" s="3">
        <v>1.4152960729999999</v>
      </c>
      <c r="L13" s="3">
        <v>184.20726886</v>
      </c>
      <c r="M13" s="3">
        <v>-34.731980899999996</v>
      </c>
      <c r="N13" s="3">
        <v>16.173251839999999</v>
      </c>
      <c r="O13" s="3">
        <v>130</v>
      </c>
      <c r="P13" s="3">
        <v>6.9247855104999996</v>
      </c>
      <c r="Q13" s="3">
        <v>-62.876709945000002</v>
      </c>
      <c r="R13" s="3">
        <v>17</v>
      </c>
      <c r="S13" s="3">
        <v>0.36364012899999998</v>
      </c>
      <c r="T13" s="3"/>
      <c r="U13" s="3"/>
      <c r="V13" s="3"/>
    </row>
    <row r="14" spans="1:22" x14ac:dyDescent="0.2">
      <c r="A14" s="5" t="s">
        <v>33</v>
      </c>
      <c r="D14" s="3">
        <v>13</v>
      </c>
      <c r="E14" s="3" t="s">
        <v>20</v>
      </c>
      <c r="F14" s="4" t="s">
        <v>21</v>
      </c>
      <c r="G14" s="5">
        <v>55.914551077655304</v>
      </c>
      <c r="H14" s="5">
        <v>-11.6407553355383</v>
      </c>
      <c r="I14" s="5">
        <v>92.682081925564745</v>
      </c>
      <c r="J14" s="5">
        <v>-36.767530847909455</v>
      </c>
      <c r="K14" s="5">
        <v>1.51223414562077</v>
      </c>
      <c r="L14" s="5">
        <v>214.4002714649892</v>
      </c>
      <c r="M14" s="5">
        <v>-54.677395185719604</v>
      </c>
      <c r="N14" s="5">
        <v>68.891293074811102</v>
      </c>
      <c r="O14" s="5">
        <v>179.5</v>
      </c>
      <c r="P14" s="5">
        <v>8.4604749524398244</v>
      </c>
      <c r="Q14" s="5">
        <v>-62.52824382079455</v>
      </c>
      <c r="R14" s="5">
        <v>13</v>
      </c>
      <c r="S14" s="5">
        <v>0.32352664836683198</v>
      </c>
    </row>
    <row r="15" spans="1:22" x14ac:dyDescent="0.2">
      <c r="A15" s="5" t="s">
        <v>34</v>
      </c>
      <c r="D15" s="3">
        <v>14</v>
      </c>
      <c r="E15" s="3" t="s">
        <v>20</v>
      </c>
      <c r="F15" s="4" t="s">
        <v>21</v>
      </c>
      <c r="G15" s="5">
        <v>56.917496867980297</v>
      </c>
      <c r="H15" s="5">
        <v>-11.246153276649601</v>
      </c>
      <c r="I15" s="5">
        <v>91.810668896537095</v>
      </c>
      <c r="J15" s="5">
        <v>-34.893172028556897</v>
      </c>
      <c r="K15" s="5">
        <v>1.7823903295889501</v>
      </c>
      <c r="L15" s="5">
        <v>224.26531091608757</v>
      </c>
      <c r="M15" s="5">
        <v>-34.589308301094036</v>
      </c>
      <c r="N15" s="5">
        <v>91.2820413945566</v>
      </c>
      <c r="O15" s="5">
        <v>180</v>
      </c>
      <c r="P15" s="5">
        <v>6.5716560821540799</v>
      </c>
      <c r="Q15" s="5">
        <v>-62.215366431057198</v>
      </c>
      <c r="R15" s="5">
        <v>8</v>
      </c>
      <c r="S15" s="5">
        <v>0.33314253005151701</v>
      </c>
    </row>
    <row r="16" spans="1:22" x14ac:dyDescent="0.2">
      <c r="A16" s="5" t="s">
        <v>35</v>
      </c>
      <c r="D16" s="5">
        <v>15</v>
      </c>
      <c r="E16" s="5" t="s">
        <v>20</v>
      </c>
      <c r="F16" s="9" t="s">
        <v>21</v>
      </c>
      <c r="G16" s="5">
        <v>38.881516831934697</v>
      </c>
      <c r="H16" s="5">
        <v>-18.940890513284799</v>
      </c>
      <c r="I16" s="5">
        <v>78.065379290015002</v>
      </c>
      <c r="J16" s="5">
        <v>-39.183862458080199</v>
      </c>
      <c r="K16" s="5">
        <v>1.3900854991765399</v>
      </c>
      <c r="L16" s="5">
        <v>179.00570165071758</v>
      </c>
      <c r="M16" s="5">
        <v>-50.121346380618405</v>
      </c>
      <c r="N16" s="5">
        <v>210.35606129360701</v>
      </c>
      <c r="O16" s="5">
        <v>159</v>
      </c>
      <c r="P16" s="5">
        <v>1.64102693892815</v>
      </c>
      <c r="Q16" s="5">
        <v>-84.965738567405097</v>
      </c>
      <c r="R16" s="5">
        <v>6</v>
      </c>
      <c r="S16" s="5">
        <v>0.20029618659755499</v>
      </c>
    </row>
    <row r="17" spans="1:19" x14ac:dyDescent="0.2">
      <c r="A17" s="5" t="s">
        <v>36</v>
      </c>
      <c r="D17" s="3">
        <v>16</v>
      </c>
      <c r="E17" s="3" t="s">
        <v>20</v>
      </c>
      <c r="F17" s="4" t="s">
        <v>21</v>
      </c>
      <c r="G17" s="5">
        <v>47.298563797271896</v>
      </c>
      <c r="H17" s="5">
        <v>-14.156342068703399</v>
      </c>
      <c r="I17" s="5">
        <v>81.057773663191895</v>
      </c>
      <c r="J17" s="5">
        <v>-33.759209865919949</v>
      </c>
      <c r="K17" s="5">
        <v>1.6633547872860499</v>
      </c>
      <c r="L17" s="5">
        <v>141.94701351884021</v>
      </c>
      <c r="M17" s="5">
        <v>-40.004295645521346</v>
      </c>
      <c r="N17" s="5">
        <v>103.16086020013989</v>
      </c>
      <c r="O17" s="5">
        <v>190</v>
      </c>
      <c r="P17" s="5">
        <v>8.0052140549911552</v>
      </c>
      <c r="Q17" s="5">
        <v>-63.858020872813547</v>
      </c>
      <c r="R17" s="5">
        <v>7</v>
      </c>
      <c r="S17" s="5">
        <v>0.40192581291294049</v>
      </c>
    </row>
    <row r="18" spans="1:19" x14ac:dyDescent="0.2">
      <c r="A18" s="5" t="s">
        <v>37</v>
      </c>
      <c r="D18" s="3">
        <v>17</v>
      </c>
      <c r="E18" s="3" t="s">
        <v>20</v>
      </c>
      <c r="F18" s="4" t="s">
        <v>21</v>
      </c>
      <c r="G18" s="5">
        <v>47.848463743941799</v>
      </c>
      <c r="H18" s="5">
        <v>-10.407624111462649</v>
      </c>
      <c r="I18" s="5">
        <v>80.959122964689101</v>
      </c>
      <c r="J18" s="5">
        <v>-33.110659220747294</v>
      </c>
      <c r="K18" s="5">
        <v>1.757840993586345</v>
      </c>
      <c r="L18" s="5">
        <v>161.93848118907059</v>
      </c>
      <c r="M18" s="5">
        <v>-37.190335347334134</v>
      </c>
      <c r="N18" s="5">
        <v>74.331163347384503</v>
      </c>
      <c r="O18" s="5">
        <v>199.5</v>
      </c>
      <c r="P18" s="5">
        <v>7.3616210435288245</v>
      </c>
      <c r="Q18" s="5">
        <v>-62.884821760137697</v>
      </c>
      <c r="R18" s="5">
        <v>10</v>
      </c>
      <c r="S18" s="5">
        <v>0.28211041854299646</v>
      </c>
    </row>
    <row r="19" spans="1:19" x14ac:dyDescent="0.2">
      <c r="A19" s="5" t="s">
        <v>38</v>
      </c>
      <c r="D19" s="3">
        <v>18</v>
      </c>
      <c r="E19" s="5" t="s">
        <v>20</v>
      </c>
      <c r="F19" s="9" t="s">
        <v>21</v>
      </c>
      <c r="G19" s="5">
        <v>46.361903209726947</v>
      </c>
      <c r="H19" s="5">
        <v>-12.199774549597301</v>
      </c>
      <c r="I19" s="5">
        <v>81.699002322752563</v>
      </c>
      <c r="J19" s="5">
        <v>-35.337099113025552</v>
      </c>
      <c r="K19" s="5">
        <v>1.6331755551524501</v>
      </c>
      <c r="L19" s="5">
        <v>127.53349334177682</v>
      </c>
      <c r="M19" s="5">
        <v>-40.744548950689399</v>
      </c>
      <c r="N19" s="5">
        <v>113.122963080291</v>
      </c>
      <c r="O19" s="5">
        <v>159</v>
      </c>
      <c r="P19" s="5">
        <v>12.824199730066351</v>
      </c>
      <c r="Q19" s="5">
        <v>-65.746417562675703</v>
      </c>
      <c r="R19" s="5">
        <v>9</v>
      </c>
      <c r="S19" s="5">
        <v>0.34978257480290753</v>
      </c>
    </row>
    <row r="20" spans="1:19" x14ac:dyDescent="0.2">
      <c r="A20" s="5" t="s">
        <v>39</v>
      </c>
      <c r="D20" s="5">
        <v>19</v>
      </c>
      <c r="E20" s="3" t="s">
        <v>20</v>
      </c>
      <c r="F20" s="4" t="s">
        <v>21</v>
      </c>
      <c r="G20" s="5">
        <v>48.551360566389647</v>
      </c>
      <c r="H20" s="5">
        <v>-10.9995271067417</v>
      </c>
      <c r="I20" s="5">
        <v>83.704893810178703</v>
      </c>
      <c r="J20" s="5">
        <v>-35.153533243789056</v>
      </c>
      <c r="K20" s="5">
        <v>1.571157329485785</v>
      </c>
      <c r="L20" s="5">
        <v>180.85912846431597</v>
      </c>
      <c r="M20" s="5">
        <v>-43.441934965277795</v>
      </c>
      <c r="N20" s="5">
        <v>109.5658514959035</v>
      </c>
      <c r="O20" s="5">
        <v>169.5</v>
      </c>
      <c r="P20" s="5">
        <v>6.9892569208184803</v>
      </c>
      <c r="Q20" s="5">
        <v>-63.216443503170851</v>
      </c>
      <c r="R20" s="5">
        <v>11</v>
      </c>
      <c r="S20" s="5">
        <v>0.46855647009380647</v>
      </c>
    </row>
    <row r="21" spans="1:19" x14ac:dyDescent="0.2">
      <c r="A21" s="5" t="s">
        <v>40</v>
      </c>
      <c r="D21" s="3">
        <v>20</v>
      </c>
      <c r="E21" s="3" t="s">
        <v>20</v>
      </c>
      <c r="F21" s="4" t="s">
        <v>21</v>
      </c>
      <c r="G21" s="5">
        <v>45.737117274389803</v>
      </c>
      <c r="H21" s="5">
        <v>-13.1205121348228</v>
      </c>
      <c r="I21" s="5">
        <v>79.479367239471003</v>
      </c>
      <c r="J21" s="5">
        <v>-33.7422499650812</v>
      </c>
      <c r="K21" s="5">
        <v>1.4614648619281401</v>
      </c>
      <c r="L21" s="5">
        <v>141.9250926816888</v>
      </c>
      <c r="M21" s="5">
        <v>-44.422591223588803</v>
      </c>
      <c r="N21" s="5">
        <v>93.092353604776093</v>
      </c>
      <c r="O21" s="5">
        <v>200</v>
      </c>
      <c r="P21" s="5">
        <v>5.6466141288548402</v>
      </c>
      <c r="Q21" s="5">
        <v>-65.316641174808794</v>
      </c>
      <c r="R21" s="5">
        <v>9</v>
      </c>
      <c r="S21" s="5">
        <v>0.35565862708719898</v>
      </c>
    </row>
    <row r="22" spans="1:19" x14ac:dyDescent="0.2">
      <c r="A22" s="2" t="s">
        <v>41</v>
      </c>
      <c r="D22" s="3">
        <v>21</v>
      </c>
      <c r="E22" s="5" t="s">
        <v>20</v>
      </c>
      <c r="F22" s="9" t="s">
        <v>21</v>
      </c>
      <c r="G22" s="5">
        <v>44.737463487390961</v>
      </c>
      <c r="H22" s="5">
        <v>-13.482230658348366</v>
      </c>
      <c r="I22" s="5">
        <v>79.863008390434231</v>
      </c>
      <c r="J22" s="5">
        <v>-35.12554490304327</v>
      </c>
      <c r="K22" s="5">
        <v>1.4569796444750833</v>
      </c>
      <c r="L22" s="5">
        <v>140.40514563374012</v>
      </c>
      <c r="M22" s="5">
        <v>-52.547108859694795</v>
      </c>
      <c r="N22" s="5">
        <v>124.38224672270127</v>
      </c>
      <c r="O22" s="5">
        <v>39.333333333333336</v>
      </c>
      <c r="P22" s="5">
        <v>3.6355612926242968</v>
      </c>
      <c r="Q22" s="5">
        <v>-48.905725398317365</v>
      </c>
      <c r="R22" s="5">
        <v>12</v>
      </c>
      <c r="S22" s="5">
        <v>0.23684527291373869</v>
      </c>
    </row>
    <row r="23" spans="1:19" x14ac:dyDescent="0.2">
      <c r="A23" s="5" t="s">
        <v>42</v>
      </c>
      <c r="D23" s="3">
        <v>22</v>
      </c>
      <c r="E23" s="3" t="s">
        <v>20</v>
      </c>
      <c r="F23" s="4" t="s">
        <v>21</v>
      </c>
      <c r="G23" s="5">
        <v>42.002344959995554</v>
      </c>
      <c r="H23" s="5">
        <v>-10.30897391070145</v>
      </c>
      <c r="I23" s="5">
        <v>85.20109238321146</v>
      </c>
      <c r="J23" s="5">
        <v>-43.198747423215949</v>
      </c>
      <c r="K23" s="5">
        <v>1.4742293377561348</v>
      </c>
      <c r="L23" s="5">
        <v>183.56990814484919</v>
      </c>
      <c r="M23" s="5">
        <v>-46.129732876716204</v>
      </c>
      <c r="N23" s="5">
        <v>82.652646442010308</v>
      </c>
      <c r="O23" s="5">
        <v>240</v>
      </c>
      <c r="P23" s="5">
        <v>4.2896699408536207</v>
      </c>
      <c r="Q23" s="5">
        <v>-64.288786837172438</v>
      </c>
      <c r="R23" s="5">
        <v>7</v>
      </c>
      <c r="S23" s="5">
        <v>0.20279933695621899</v>
      </c>
    </row>
    <row r="24" spans="1:19" x14ac:dyDescent="0.2">
      <c r="A24" s="5" t="s">
        <v>43</v>
      </c>
      <c r="D24" s="5">
        <v>23</v>
      </c>
      <c r="E24" s="3" t="s">
        <v>20</v>
      </c>
      <c r="F24" s="4" t="s">
        <v>21</v>
      </c>
      <c r="G24" s="5">
        <v>47.723805459602701</v>
      </c>
      <c r="H24" s="5">
        <v>-12.0024742624274</v>
      </c>
      <c r="I24" s="5">
        <v>90.5939848728394</v>
      </c>
      <c r="J24" s="5">
        <v>-42.870179413236698</v>
      </c>
      <c r="K24" s="5">
        <v>1.72317811157135</v>
      </c>
      <c r="L24" s="5">
        <v>173.57779077787359</v>
      </c>
      <c r="M24" s="5">
        <v>-39.854777467573356</v>
      </c>
      <c r="N24" s="5">
        <v>107.360874244144</v>
      </c>
      <c r="O24" s="5">
        <v>180</v>
      </c>
      <c r="P24" s="5">
        <v>6.4531671454958897</v>
      </c>
      <c r="Q24" s="5">
        <v>-71.208140928880198</v>
      </c>
      <c r="R24" s="5">
        <v>15</v>
      </c>
      <c r="S24" s="5">
        <v>0.48595271210014002</v>
      </c>
    </row>
    <row r="25" spans="1:19" x14ac:dyDescent="0.2">
      <c r="A25" s="5" t="s">
        <v>44</v>
      </c>
      <c r="D25" s="3">
        <v>24</v>
      </c>
      <c r="E25" s="5" t="s">
        <v>20</v>
      </c>
      <c r="F25" s="9" t="s">
        <v>21</v>
      </c>
      <c r="G25" s="5">
        <v>51.368202271862998</v>
      </c>
      <c r="H25" s="5">
        <v>-10.9173190881205</v>
      </c>
      <c r="I25" s="5">
        <v>94.967486891679002</v>
      </c>
      <c r="J25" s="5">
        <v>-43.599284619815997</v>
      </c>
      <c r="K25" s="5">
        <v>1.50527403166077</v>
      </c>
      <c r="L25" s="5">
        <v>209.79659133925799</v>
      </c>
      <c r="M25" s="5">
        <v>-47.968775546493596</v>
      </c>
      <c r="N25" s="5">
        <v>120.348180108224</v>
      </c>
      <c r="O25" s="5">
        <v>120</v>
      </c>
      <c r="P25" s="5">
        <v>2.7081838773561402</v>
      </c>
      <c r="Q25" s="5">
        <v>-66.415122873002403</v>
      </c>
      <c r="R25" s="5">
        <v>15</v>
      </c>
      <c r="S25" s="5">
        <v>0.73999327278842997</v>
      </c>
    </row>
    <row r="26" spans="1:19" x14ac:dyDescent="0.2">
      <c r="A26" s="5" t="s">
        <v>45</v>
      </c>
      <c r="D26" s="3">
        <v>25</v>
      </c>
      <c r="E26" s="3" t="s">
        <v>20</v>
      </c>
      <c r="F26" s="4" t="s">
        <v>21</v>
      </c>
      <c r="G26" s="5">
        <v>35.713134706061254</v>
      </c>
      <c r="H26" s="5">
        <v>-13.547997916469601</v>
      </c>
      <c r="I26" s="5">
        <v>74.694824864915205</v>
      </c>
      <c r="J26" s="5">
        <v>-38.981690158853894</v>
      </c>
      <c r="K26" s="5">
        <v>1.6493182365264252</v>
      </c>
      <c r="L26" s="5">
        <v>129.6234841611232</v>
      </c>
      <c r="M26" s="5">
        <v>-46.364060210303521</v>
      </c>
      <c r="N26" s="5">
        <v>148.025136317472</v>
      </c>
      <c r="O26" s="5">
        <v>49.5</v>
      </c>
      <c r="P26" s="5">
        <v>1.2276829652877581</v>
      </c>
      <c r="Q26" s="5">
        <v>-53.371016018642152</v>
      </c>
      <c r="R26" s="5">
        <v>11</v>
      </c>
      <c r="S26" s="5">
        <v>0.67191011235955145</v>
      </c>
    </row>
    <row r="27" spans="1:19" x14ac:dyDescent="0.2">
      <c r="A27" s="2" t="s">
        <v>46</v>
      </c>
      <c r="D27" s="3">
        <v>26</v>
      </c>
      <c r="E27" s="3" t="s">
        <v>20</v>
      </c>
      <c r="F27" s="4" t="s">
        <v>21</v>
      </c>
      <c r="G27" s="5">
        <v>52.741296324746244</v>
      </c>
      <c r="H27" s="5">
        <v>-12.594377109363098</v>
      </c>
      <c r="I27" s="5">
        <v>94.753743632841406</v>
      </c>
      <c r="J27" s="5">
        <v>-42.012447308095105</v>
      </c>
      <c r="K27" s="5">
        <v>1.412319471012415</v>
      </c>
      <c r="L27" s="5">
        <v>261.281154840689</v>
      </c>
      <c r="M27" s="5">
        <v>-53.344310825816009</v>
      </c>
      <c r="N27" s="5">
        <v>71.861138323265493</v>
      </c>
      <c r="O27" s="5">
        <v>190</v>
      </c>
      <c r="P27" s="5">
        <v>3.3109992628939553</v>
      </c>
      <c r="Q27" s="5">
        <v>-68.116078131490752</v>
      </c>
      <c r="R27" s="5">
        <v>15</v>
      </c>
      <c r="S27" s="5">
        <v>0.68408252314271745</v>
      </c>
    </row>
    <row r="28" spans="1:19" x14ac:dyDescent="0.2">
      <c r="A28" s="5" t="s">
        <v>47</v>
      </c>
      <c r="D28" s="5">
        <v>27</v>
      </c>
      <c r="E28" s="5" t="s">
        <v>20</v>
      </c>
      <c r="F28" s="9" t="s">
        <v>21</v>
      </c>
      <c r="G28" s="5">
        <v>51.6890253156405</v>
      </c>
      <c r="H28" s="5">
        <v>-11.1475034662044</v>
      </c>
      <c r="I28" s="5">
        <v>94.046749261931893</v>
      </c>
      <c r="J28" s="5">
        <v>-42.357723946291401</v>
      </c>
      <c r="K28" s="5">
        <v>1.4713165085941899</v>
      </c>
      <c r="L28" s="5">
        <v>267.74458548147879</v>
      </c>
      <c r="M28" s="5">
        <v>-48.835464975078402</v>
      </c>
      <c r="N28" s="5">
        <v>100.23872884583101</v>
      </c>
      <c r="O28" s="5">
        <v>159</v>
      </c>
      <c r="P28" s="5">
        <v>9.4941511540537995</v>
      </c>
      <c r="Q28" s="5">
        <v>-65.457515254812606</v>
      </c>
      <c r="R28" s="5">
        <v>18</v>
      </c>
      <c r="S28" s="5">
        <v>0.60397396368619405</v>
      </c>
    </row>
    <row r="29" spans="1:19" x14ac:dyDescent="0.2">
      <c r="A29" s="5" t="s">
        <v>48</v>
      </c>
      <c r="D29" s="3">
        <v>28</v>
      </c>
      <c r="E29" s="3" t="s">
        <v>20</v>
      </c>
      <c r="F29" s="4" t="s">
        <v>21</v>
      </c>
      <c r="G29" s="5">
        <v>44.394266952669952</v>
      </c>
      <c r="H29" s="5">
        <v>-11.344804469929649</v>
      </c>
      <c r="I29" s="5">
        <v>94.457792918538843</v>
      </c>
      <c r="J29" s="5">
        <v>-50.063525965868905</v>
      </c>
      <c r="K29" s="5">
        <v>1.3479272594314948</v>
      </c>
      <c r="L29" s="5">
        <v>271.54445200397817</v>
      </c>
      <c r="M29" s="5">
        <v>-56.154467636370597</v>
      </c>
      <c r="N29" s="5">
        <v>68.883158227894398</v>
      </c>
      <c r="O29" s="5">
        <v>120</v>
      </c>
      <c r="P29" s="5">
        <v>5.7328291760116006</v>
      </c>
      <c r="Q29" s="5">
        <v>-63.902721173797353</v>
      </c>
      <c r="R29" s="5">
        <v>17</v>
      </c>
      <c r="S29" s="5">
        <v>0.49141161841429604</v>
      </c>
    </row>
    <row r="30" spans="1:19" x14ac:dyDescent="0.2">
      <c r="A30" s="5" t="s">
        <v>49</v>
      </c>
      <c r="D30" s="3">
        <v>29</v>
      </c>
      <c r="E30" s="3" t="s">
        <v>20</v>
      </c>
      <c r="F30" s="4" t="s">
        <v>21</v>
      </c>
      <c r="G30" s="5">
        <v>48.811721710321152</v>
      </c>
      <c r="H30" s="5">
        <v>-12.084683253534951</v>
      </c>
      <c r="I30" s="5">
        <v>93.701474381553552</v>
      </c>
      <c r="J30" s="5">
        <v>-44.8897526712325</v>
      </c>
      <c r="K30" s="5">
        <v>1.295847516292985</v>
      </c>
      <c r="L30" s="5">
        <v>275.16072962414717</v>
      </c>
      <c r="M30" s="5">
        <v>-62.721405963944001</v>
      </c>
      <c r="N30" s="5">
        <v>128.57823942266549</v>
      </c>
      <c r="O30" s="5">
        <v>49</v>
      </c>
      <c r="P30" s="5">
        <v>6.4989535029943699</v>
      </c>
      <c r="Q30" s="5">
        <v>-58.499584174807055</v>
      </c>
      <c r="R30" s="5">
        <v>23</v>
      </c>
      <c r="S30" s="5">
        <v>0.1967512757833795</v>
      </c>
    </row>
    <row r="31" spans="1:19" x14ac:dyDescent="0.2">
      <c r="A31" s="5" t="s">
        <v>50</v>
      </c>
      <c r="D31" s="3">
        <v>30</v>
      </c>
      <c r="E31" s="5" t="s">
        <v>20</v>
      </c>
      <c r="F31" s="9" t="s">
        <v>21</v>
      </c>
      <c r="G31" s="5">
        <v>50.390128270045949</v>
      </c>
      <c r="H31" s="5">
        <v>-12.528610560894849</v>
      </c>
      <c r="I31" s="5">
        <v>96.397919613186048</v>
      </c>
      <c r="J31" s="5">
        <v>-46.007791343140148</v>
      </c>
      <c r="K31" s="5">
        <v>1.3309431872597601</v>
      </c>
      <c r="L31" s="5">
        <v>273.66361765635503</v>
      </c>
      <c r="M31" s="5">
        <v>-58.646113143898198</v>
      </c>
      <c r="N31" s="5">
        <v>97.384120123497098</v>
      </c>
      <c r="O31" s="5">
        <v>99.5</v>
      </c>
      <c r="P31" s="5">
        <v>6.8906912479665801</v>
      </c>
      <c r="Q31" s="5">
        <v>-65.754465513365744</v>
      </c>
      <c r="R31" s="5">
        <v>20</v>
      </c>
      <c r="S31" s="5">
        <v>0.46147968637945547</v>
      </c>
    </row>
    <row r="32" spans="1:19" x14ac:dyDescent="0.2">
      <c r="A32" s="5" t="s">
        <v>51</v>
      </c>
      <c r="D32" s="5">
        <v>31</v>
      </c>
      <c r="E32" s="3" t="s">
        <v>20</v>
      </c>
      <c r="F32" s="4" t="s">
        <v>21</v>
      </c>
      <c r="G32" s="5">
        <v>38.454379208066996</v>
      </c>
      <c r="H32" s="5">
        <v>-10.588483761618651</v>
      </c>
      <c r="I32" s="5">
        <v>85.875204720177891</v>
      </c>
      <c r="J32" s="5">
        <v>-47.420825512110902</v>
      </c>
      <c r="K32" s="5">
        <v>2.0675299743675701</v>
      </c>
      <c r="L32" s="5">
        <v>143.7035438236538</v>
      </c>
      <c r="M32" s="5">
        <v>-29.385439985244801</v>
      </c>
      <c r="N32" s="5">
        <v>69.816935387872505</v>
      </c>
      <c r="O32" s="5">
        <v>289.5</v>
      </c>
      <c r="P32" s="5">
        <v>1.2670549696194868</v>
      </c>
      <c r="Q32" s="5">
        <v>-70.22481388074435</v>
      </c>
      <c r="R32" s="5">
        <v>5</v>
      </c>
      <c r="S32" s="5">
        <v>0.52505905292334598</v>
      </c>
    </row>
    <row r="33" spans="1:19" x14ac:dyDescent="0.2">
      <c r="A33" s="5" t="s">
        <v>52</v>
      </c>
      <c r="D33" s="3">
        <v>32</v>
      </c>
      <c r="E33" s="3" t="s">
        <v>20</v>
      </c>
      <c r="F33" s="4" t="s">
        <v>21</v>
      </c>
      <c r="G33" s="5">
        <v>43.665458630011301</v>
      </c>
      <c r="H33" s="5">
        <v>-11.5421047070485</v>
      </c>
      <c r="I33" s="5">
        <v>78.723048097036994</v>
      </c>
      <c r="J33" s="5">
        <v>-35.057589467025799</v>
      </c>
      <c r="K33" s="5">
        <v>1.9457120995656101</v>
      </c>
      <c r="L33" s="5">
        <v>112.53457504894479</v>
      </c>
      <c r="M33" s="5">
        <v>-31.330948899457439</v>
      </c>
      <c r="N33" s="5">
        <v>124.558274218034</v>
      </c>
      <c r="O33" s="5">
        <v>79</v>
      </c>
      <c r="P33" s="5">
        <v>1.0877856877436101</v>
      </c>
      <c r="Q33" s="5">
        <v>-52.606757435354801</v>
      </c>
      <c r="R33" s="5">
        <v>5</v>
      </c>
      <c r="S33" s="12" t="s">
        <v>53</v>
      </c>
    </row>
    <row r="34" spans="1:19" x14ac:dyDescent="0.2">
      <c r="A34" s="5" t="s">
        <v>54</v>
      </c>
      <c r="D34" s="3">
        <v>33</v>
      </c>
      <c r="E34" s="5" t="s">
        <v>20</v>
      </c>
      <c r="F34" s="9" t="s">
        <v>21</v>
      </c>
      <c r="G34" s="5">
        <v>42.603909262602699</v>
      </c>
      <c r="H34" s="5">
        <v>-18.546287545422299</v>
      </c>
      <c r="I34" s="5">
        <v>72.113467509292406</v>
      </c>
      <c r="J34" s="5">
        <v>-29.5095582466896</v>
      </c>
      <c r="K34" s="5">
        <v>1.9081125786619799</v>
      </c>
      <c r="L34" s="5">
        <v>77.131491023801999</v>
      </c>
      <c r="M34" s="5">
        <v>-30.863495796671398</v>
      </c>
      <c r="N34" s="5">
        <v>33.058158240663097</v>
      </c>
      <c r="O34" s="5">
        <v>39</v>
      </c>
      <c r="P34" s="5">
        <v>8.3832028401988996</v>
      </c>
      <c r="Q34" s="5">
        <v>-52.641632214109599</v>
      </c>
      <c r="R34" s="5">
        <v>7</v>
      </c>
      <c r="S34" s="5">
        <v>3.2953313401452099E-2</v>
      </c>
    </row>
    <row r="35" spans="1:19" x14ac:dyDescent="0.2">
      <c r="A35" s="5" t="s">
        <v>55</v>
      </c>
      <c r="D35" s="3">
        <v>34</v>
      </c>
      <c r="E35" s="3" t="s">
        <v>20</v>
      </c>
      <c r="F35" s="4" t="s">
        <v>21</v>
      </c>
      <c r="G35" s="5">
        <v>49.124114691001402</v>
      </c>
      <c r="H35" s="5">
        <v>-12.035357305839</v>
      </c>
      <c r="I35" s="5">
        <v>86.680849248407497</v>
      </c>
      <c r="J35" s="5">
        <v>-37.556734557406102</v>
      </c>
      <c r="K35" s="5">
        <v>1.7445701074748701</v>
      </c>
      <c r="L35" s="5">
        <v>175.09187498640401</v>
      </c>
      <c r="M35" s="5">
        <v>-39.204414902184837</v>
      </c>
      <c r="N35" s="5">
        <v>75.117368972904003</v>
      </c>
      <c r="O35" s="5">
        <v>259</v>
      </c>
      <c r="P35" s="5">
        <v>0.35027945672597199</v>
      </c>
      <c r="Q35" s="5">
        <v>-63.063634670722102</v>
      </c>
      <c r="R35" s="5">
        <v>5</v>
      </c>
      <c r="S35" s="5">
        <v>0.39801756789427001</v>
      </c>
    </row>
    <row r="36" spans="1:19" x14ac:dyDescent="0.2">
      <c r="A36" s="5" t="s">
        <v>56</v>
      </c>
      <c r="D36" s="5">
        <v>35</v>
      </c>
      <c r="E36" s="3" t="s">
        <v>20</v>
      </c>
      <c r="F36" s="4" t="s">
        <v>21</v>
      </c>
      <c r="G36" s="5">
        <v>50.791699240954898</v>
      </c>
      <c r="H36" s="5">
        <v>-9.2895860601645488</v>
      </c>
      <c r="I36" s="5">
        <v>92.550550768443941</v>
      </c>
      <c r="J36" s="5">
        <v>-41.758851527489099</v>
      </c>
      <c r="K36" s="5">
        <v>1.69400335820668</v>
      </c>
      <c r="L36" s="5">
        <v>220.04527854134321</v>
      </c>
      <c r="M36" s="5">
        <v>-42.250587143024561</v>
      </c>
      <c r="N36" s="5">
        <v>105.75379280999999</v>
      </c>
      <c r="O36" s="5">
        <v>279.5</v>
      </c>
      <c r="P36" s="5">
        <v>2.8504211943343543</v>
      </c>
      <c r="Q36" s="5">
        <v>-66.54546776672359</v>
      </c>
      <c r="R36" s="5">
        <v>3</v>
      </c>
      <c r="S36" s="12" t="s">
        <v>53</v>
      </c>
    </row>
    <row r="37" spans="1:19" x14ac:dyDescent="0.2">
      <c r="A37" s="5" t="s">
        <v>57</v>
      </c>
      <c r="D37" s="3">
        <v>36</v>
      </c>
      <c r="E37" s="5" t="s">
        <v>58</v>
      </c>
      <c r="F37" s="9" t="s">
        <v>21</v>
      </c>
      <c r="G37" s="5">
        <v>50.102397912501623</v>
      </c>
      <c r="H37" s="5">
        <v>-24.078934555785452</v>
      </c>
      <c r="I37" s="5">
        <v>76.659606083491497</v>
      </c>
      <c r="J37" s="5">
        <v>-26.557208170989874</v>
      </c>
      <c r="K37" s="5">
        <v>1.4318740788552322</v>
      </c>
      <c r="L37" s="5">
        <v>133.80600154683779</v>
      </c>
      <c r="M37" s="5">
        <v>-42.221995538621904</v>
      </c>
      <c r="N37" s="5">
        <v>-137.95209149797961</v>
      </c>
      <c r="O37" s="5">
        <v>400</v>
      </c>
      <c r="P37" s="5">
        <v>9.2809555582148846</v>
      </c>
      <c r="Q37" s="5">
        <v>-65.201740014588353</v>
      </c>
      <c r="R37" s="5">
        <v>2</v>
      </c>
      <c r="S37" s="5">
        <v>1</v>
      </c>
    </row>
    <row r="38" spans="1:19" x14ac:dyDescent="0.2">
      <c r="A38" s="5" t="s">
        <v>59</v>
      </c>
      <c r="D38" s="3">
        <v>37</v>
      </c>
      <c r="E38" s="5" t="s">
        <v>58</v>
      </c>
      <c r="F38" s="4" t="s">
        <v>21</v>
      </c>
      <c r="G38" s="5">
        <v>55.240439967828827</v>
      </c>
      <c r="H38" s="5">
        <v>-22.908830463296766</v>
      </c>
      <c r="I38" s="5">
        <v>82.647138183369222</v>
      </c>
      <c r="J38" s="5">
        <v>-27.406698215540469</v>
      </c>
      <c r="K38" s="5">
        <v>1.2731263344294417</v>
      </c>
      <c r="L38" s="5">
        <v>181.79082025292143</v>
      </c>
      <c r="M38" s="5">
        <v>-43.771115075139598</v>
      </c>
      <c r="N38" s="5">
        <v>-179.83932347605401</v>
      </c>
      <c r="O38" s="5">
        <v>319.33333333333331</v>
      </c>
      <c r="P38" s="5">
        <v>12.496696498604754</v>
      </c>
      <c r="Q38" s="5">
        <v>-62.444141800413774</v>
      </c>
      <c r="R38" s="5">
        <v>2</v>
      </c>
      <c r="S38" s="5">
        <v>1</v>
      </c>
    </row>
    <row r="39" spans="1:19" x14ac:dyDescent="0.2">
      <c r="A39" s="5" t="s">
        <v>60</v>
      </c>
      <c r="D39" s="3">
        <v>38</v>
      </c>
      <c r="E39" s="5" t="s">
        <v>58</v>
      </c>
      <c r="F39" s="4" t="s">
        <v>21</v>
      </c>
      <c r="G39" s="5">
        <v>53.218106630800101</v>
      </c>
      <c r="H39" s="5">
        <v>-11.081736250635402</v>
      </c>
      <c r="I39" s="5">
        <v>92.961593184983741</v>
      </c>
      <c r="J39" s="5">
        <v>-39.743486554183697</v>
      </c>
      <c r="K39" s="5">
        <v>1.6629539627795449</v>
      </c>
      <c r="L39" s="5">
        <v>187.94172350121761</v>
      </c>
      <c r="M39" s="5">
        <v>-42.698015155410197</v>
      </c>
      <c r="N39" s="5">
        <v>-81.437450840247706</v>
      </c>
      <c r="O39" s="5">
        <v>139.5</v>
      </c>
      <c r="P39" s="5">
        <v>9.1700039508552145</v>
      </c>
      <c r="Q39" s="5">
        <v>-63.371010454369703</v>
      </c>
      <c r="R39" s="5">
        <v>13</v>
      </c>
      <c r="S39" s="5">
        <v>0.34279293795083149</v>
      </c>
    </row>
    <row r="40" spans="1:19" x14ac:dyDescent="0.2">
      <c r="A40" s="5" t="s">
        <v>61</v>
      </c>
      <c r="D40" s="5">
        <v>39</v>
      </c>
      <c r="E40" s="5" t="s">
        <v>58</v>
      </c>
      <c r="F40" s="9" t="s">
        <v>21</v>
      </c>
      <c r="G40" s="5">
        <v>54.697862733435144</v>
      </c>
      <c r="H40" s="5">
        <v>-9.8321633820473977</v>
      </c>
      <c r="I40" s="5">
        <v>92.040854616985143</v>
      </c>
      <c r="J40" s="5">
        <v>-37.342991883550056</v>
      </c>
      <c r="K40" s="5">
        <v>1.7731155992466601</v>
      </c>
      <c r="L40" s="5">
        <v>239.06288042457101</v>
      </c>
      <c r="M40" s="5">
        <v>-37.19756763937</v>
      </c>
      <c r="N40" s="5">
        <v>-58.125284338163702</v>
      </c>
      <c r="O40" s="5">
        <v>130</v>
      </c>
      <c r="P40" s="5">
        <v>11.158882541187539</v>
      </c>
      <c r="Q40" s="5">
        <v>-63.624175715619344</v>
      </c>
      <c r="R40" s="5">
        <v>12</v>
      </c>
      <c r="S40" s="5">
        <v>0.32075120530897805</v>
      </c>
    </row>
    <row r="41" spans="1:19" x14ac:dyDescent="0.2">
      <c r="A41" s="5" t="s">
        <v>62</v>
      </c>
      <c r="D41" s="3">
        <v>40</v>
      </c>
      <c r="E41" s="5" t="s">
        <v>58</v>
      </c>
      <c r="F41" s="4" t="s">
        <v>21</v>
      </c>
      <c r="G41" s="5">
        <v>56.095410155179898</v>
      </c>
      <c r="H41" s="5">
        <v>-6.7411154327051008</v>
      </c>
      <c r="I41" s="5">
        <v>96.348590785501898</v>
      </c>
      <c r="J41" s="5">
        <v>-40.253180630321999</v>
      </c>
      <c r="K41" s="5">
        <v>1.7655430242102399</v>
      </c>
      <c r="L41" s="5">
        <v>232.45629192073</v>
      </c>
      <c r="M41" s="5">
        <v>-39.043650161728635</v>
      </c>
      <c r="N41" s="5">
        <v>-71.062156330381697</v>
      </c>
      <c r="O41" s="5">
        <v>120</v>
      </c>
      <c r="P41" s="5">
        <v>10.378435481961199</v>
      </c>
      <c r="Q41" s="5">
        <v>-65.012775132640499</v>
      </c>
      <c r="R41" s="5">
        <v>13</v>
      </c>
      <c r="S41" s="5">
        <v>0.308343659644774</v>
      </c>
    </row>
    <row r="42" spans="1:19" x14ac:dyDescent="0.2">
      <c r="A42" s="5" t="s">
        <v>63</v>
      </c>
      <c r="D42" s="3">
        <v>41</v>
      </c>
      <c r="E42" s="5" t="s">
        <v>58</v>
      </c>
      <c r="F42" s="4" t="s">
        <v>21</v>
      </c>
      <c r="G42" s="5">
        <v>51.645180675697134</v>
      </c>
      <c r="H42" s="5">
        <v>-10.117154095833135</v>
      </c>
      <c r="I42" s="5">
        <v>94.671535582718306</v>
      </c>
      <c r="J42" s="5">
        <v>-43.026354907021165</v>
      </c>
      <c r="K42" s="5">
        <v>1.6182024570255731</v>
      </c>
      <c r="L42" s="5">
        <v>189.00712748846064</v>
      </c>
      <c r="M42" s="5">
        <v>-50.751770638412268</v>
      </c>
      <c r="N42" s="5">
        <v>-78.709916624792797</v>
      </c>
      <c r="O42" s="5">
        <v>66.333333333333329</v>
      </c>
      <c r="P42" s="5">
        <v>9.6318027065460967</v>
      </c>
      <c r="Q42" s="5">
        <v>-59.341802972610935</v>
      </c>
      <c r="R42" s="5">
        <v>15</v>
      </c>
      <c r="S42" s="5">
        <v>0.26297779502656732</v>
      </c>
    </row>
    <row r="43" spans="1:19" x14ac:dyDescent="0.2">
      <c r="A43" s="5" t="s">
        <v>64</v>
      </c>
      <c r="D43" s="3">
        <v>42</v>
      </c>
      <c r="E43" s="5" t="s">
        <v>58</v>
      </c>
      <c r="F43" s="9" t="s">
        <v>21</v>
      </c>
      <c r="G43" s="5">
        <v>52.642645923661348</v>
      </c>
      <c r="H43" s="5">
        <v>-15.997818782013844</v>
      </c>
      <c r="I43" s="5">
        <v>95.526505706467248</v>
      </c>
      <c r="J43" s="5">
        <v>-42.883859782805857</v>
      </c>
      <c r="K43" s="5">
        <v>1.70661711680273</v>
      </c>
      <c r="L43" s="5">
        <v>189.6111936874758</v>
      </c>
      <c r="M43" s="5">
        <v>-48.884877583937403</v>
      </c>
      <c r="N43" s="5">
        <v>-124.975971909729</v>
      </c>
      <c r="O43" s="5">
        <v>160</v>
      </c>
      <c r="P43" s="5">
        <v>5.5517735762382747</v>
      </c>
      <c r="Q43" s="5">
        <v>-61.165098137536205</v>
      </c>
      <c r="R43" s="5">
        <v>6</v>
      </c>
      <c r="S43" s="5">
        <v>0.6733807717309005</v>
      </c>
    </row>
    <row r="44" spans="1:19" x14ac:dyDescent="0.2">
      <c r="A44" s="5" t="s">
        <v>65</v>
      </c>
      <c r="D44" s="5">
        <v>43</v>
      </c>
      <c r="E44" s="5" t="s">
        <v>58</v>
      </c>
      <c r="F44" s="4" t="s">
        <v>21</v>
      </c>
      <c r="G44" s="5">
        <v>47.627916810529051</v>
      </c>
      <c r="H44" s="5">
        <v>-9.1416104772827467</v>
      </c>
      <c r="I44" s="5">
        <v>90.544660083253092</v>
      </c>
      <c r="J44" s="5">
        <v>-42.916743272723949</v>
      </c>
      <c r="K44" s="5">
        <v>1.6498706076267751</v>
      </c>
      <c r="L44" s="5">
        <v>160.12061876089942</v>
      </c>
      <c r="M44" s="5">
        <v>-45.119087100123203</v>
      </c>
      <c r="N44" s="5">
        <v>-257.25615977432301</v>
      </c>
      <c r="O44" s="5">
        <v>89.5</v>
      </c>
      <c r="P44" s="5">
        <v>10.922402437252504</v>
      </c>
      <c r="Q44" s="5">
        <v>-71.107898773273547</v>
      </c>
      <c r="R44" s="5">
        <v>9</v>
      </c>
      <c r="S44" s="5">
        <v>0.35492049357452349</v>
      </c>
    </row>
    <row r="45" spans="1:19" x14ac:dyDescent="0.2">
      <c r="A45" s="5" t="s">
        <v>66</v>
      </c>
      <c r="D45" s="3">
        <v>44</v>
      </c>
      <c r="E45" s="5" t="s">
        <v>58</v>
      </c>
      <c r="F45" s="4" t="s">
        <v>21</v>
      </c>
      <c r="G45" s="5">
        <v>51.689025315412501</v>
      </c>
      <c r="H45" s="5">
        <v>-11.54210540369035</v>
      </c>
      <c r="I45" s="5">
        <v>94.2604919449617</v>
      </c>
      <c r="J45" s="5">
        <v>-42.571466629549249</v>
      </c>
      <c r="K45" s="5">
        <v>1.6724715306007849</v>
      </c>
      <c r="L45" s="5">
        <v>178.73977227670059</v>
      </c>
      <c r="M45" s="5">
        <v>-47.770104349702592</v>
      </c>
      <c r="N45" s="5">
        <v>-66.102192415864096</v>
      </c>
      <c r="O45" s="5">
        <v>160</v>
      </c>
      <c r="P45" s="5">
        <v>6.5931699886820647</v>
      </c>
      <c r="Q45" s="5">
        <v>-62.322192479109503</v>
      </c>
      <c r="R45" s="5">
        <v>4</v>
      </c>
      <c r="S45" s="5">
        <v>0.36008398756802951</v>
      </c>
    </row>
    <row r="46" spans="1:19" x14ac:dyDescent="0.2">
      <c r="A46" s="5" t="s">
        <v>67</v>
      </c>
      <c r="D46" s="3">
        <v>45</v>
      </c>
      <c r="E46" s="5" t="s">
        <v>58</v>
      </c>
      <c r="F46" s="9" t="s">
        <v>21</v>
      </c>
      <c r="G46" s="5">
        <v>42.876255330035406</v>
      </c>
      <c r="H46" s="5">
        <v>-7.1192756066921028</v>
      </c>
      <c r="I46" s="5">
        <v>83.672013532128048</v>
      </c>
      <c r="J46" s="5">
        <v>-40.795758202092649</v>
      </c>
      <c r="K46" s="5">
        <v>1.7900428359364899</v>
      </c>
      <c r="L46" s="5">
        <v>161.12904889768919</v>
      </c>
      <c r="M46" s="5">
        <v>-36.823519038395361</v>
      </c>
      <c r="N46" s="5">
        <v>-85.832443604938106</v>
      </c>
      <c r="O46" s="5">
        <v>99.5</v>
      </c>
      <c r="P46" s="5">
        <v>7.1874310050843579</v>
      </c>
      <c r="Q46" s="5">
        <v>-69.3832463705062</v>
      </c>
      <c r="R46" s="5">
        <v>8</v>
      </c>
      <c r="S46" s="5">
        <v>0.718994252873564</v>
      </c>
    </row>
    <row r="47" spans="1:19" x14ac:dyDescent="0.2">
      <c r="A47" s="5" t="s">
        <v>68</v>
      </c>
      <c r="D47" s="3">
        <v>46</v>
      </c>
      <c r="E47" s="5" t="s">
        <v>58</v>
      </c>
      <c r="F47" s="4" t="s">
        <v>21</v>
      </c>
      <c r="G47" s="5">
        <v>47.512824665478703</v>
      </c>
      <c r="H47" s="5">
        <v>-9.371794609328802</v>
      </c>
      <c r="I47" s="5">
        <v>86.220481320246904</v>
      </c>
      <c r="J47" s="5">
        <v>-38.707656654768201</v>
      </c>
      <c r="K47" s="5">
        <v>2.1556151403179</v>
      </c>
      <c r="L47" s="5">
        <v>141.6866896045276</v>
      </c>
      <c r="M47" s="5">
        <v>-30.929814111053958</v>
      </c>
      <c r="N47" s="5">
        <v>-101.779181864405</v>
      </c>
      <c r="O47" s="5">
        <v>79</v>
      </c>
      <c r="P47" s="5">
        <v>11.2452283530509</v>
      </c>
      <c r="Q47" s="5">
        <v>-63.369666626412702</v>
      </c>
      <c r="R47" s="5">
        <v>5</v>
      </c>
      <c r="S47" s="5">
        <v>1</v>
      </c>
    </row>
    <row r="48" spans="1:19" x14ac:dyDescent="0.2">
      <c r="A48" s="5" t="s">
        <v>69</v>
      </c>
      <c r="D48" s="5">
        <v>47</v>
      </c>
      <c r="E48" s="5" t="s">
        <v>58</v>
      </c>
      <c r="F48" s="4" t="s">
        <v>21</v>
      </c>
      <c r="G48" s="5">
        <v>46.526320561402002</v>
      </c>
      <c r="H48" s="5">
        <v>-8.3195229684265044</v>
      </c>
      <c r="I48" s="5">
        <v>86.286248857072493</v>
      </c>
      <c r="J48" s="5">
        <v>-39.759928295670498</v>
      </c>
      <c r="K48" s="5">
        <v>2.0229522081027</v>
      </c>
      <c r="L48" s="5">
        <v>158.68627468689519</v>
      </c>
      <c r="M48" s="5">
        <v>-33.827553736238038</v>
      </c>
      <c r="N48" s="5">
        <v>-53.518199701953201</v>
      </c>
      <c r="O48" s="5">
        <v>79</v>
      </c>
      <c r="P48" s="5">
        <v>7.0319109789077396</v>
      </c>
      <c r="Q48" s="5">
        <v>-56.864334811348598</v>
      </c>
      <c r="R48" s="5">
        <v>6</v>
      </c>
      <c r="S48" s="5">
        <v>0.125777923354078</v>
      </c>
    </row>
    <row r="49" spans="1:19" x14ac:dyDescent="0.2">
      <c r="A49" s="5" t="s">
        <v>70</v>
      </c>
      <c r="D49" s="3">
        <v>48</v>
      </c>
      <c r="E49" s="5" t="s">
        <v>58</v>
      </c>
      <c r="F49" s="9" t="s">
        <v>21</v>
      </c>
      <c r="G49" s="5">
        <v>47.923868038777201</v>
      </c>
      <c r="H49" s="5">
        <v>-3.7487177916577004</v>
      </c>
      <c r="I49" s="5">
        <v>87.782446805032095</v>
      </c>
      <c r="J49" s="5">
        <v>-39.858578766254894</v>
      </c>
      <c r="K49" s="5">
        <v>2.1252105549377553</v>
      </c>
      <c r="L49" s="5">
        <v>187.05218755895442</v>
      </c>
      <c r="M49" s="5">
        <v>-30.459668060047541</v>
      </c>
      <c r="N49" s="5">
        <v>-50.762568405072798</v>
      </c>
      <c r="O49" s="5">
        <v>120</v>
      </c>
      <c r="P49" s="5">
        <v>4.5434641330670802</v>
      </c>
      <c r="Q49" s="5">
        <v>-68.242635904348106</v>
      </c>
      <c r="R49" s="5">
        <v>7</v>
      </c>
      <c r="S49" s="5">
        <v>0.89968528717545193</v>
      </c>
    </row>
    <row r="50" spans="1:19" x14ac:dyDescent="0.2">
      <c r="A50" s="5" t="s">
        <v>71</v>
      </c>
      <c r="D50" s="3">
        <v>49</v>
      </c>
      <c r="E50" s="5" t="s">
        <v>58</v>
      </c>
      <c r="F50" s="4" t="s">
        <v>21</v>
      </c>
      <c r="G50" s="5">
        <v>50.488778679638855</v>
      </c>
      <c r="H50" s="5">
        <v>-7.6947366052204522</v>
      </c>
      <c r="I50" s="5">
        <v>89.673245927540307</v>
      </c>
      <c r="J50" s="5">
        <v>-39.184467247901452</v>
      </c>
      <c r="K50" s="5">
        <v>2.0704344268280401</v>
      </c>
      <c r="L50" s="5">
        <v>166.50338551375859</v>
      </c>
      <c r="M50" s="5">
        <v>-33.735611609064918</v>
      </c>
      <c r="N50" s="5">
        <v>-74.034540274290407</v>
      </c>
      <c r="O50" s="5">
        <v>69.5</v>
      </c>
      <c r="P50" s="5">
        <v>4.0621297155167948</v>
      </c>
      <c r="Q50" s="5">
        <v>-57.998242223771854</v>
      </c>
      <c r="R50" s="5">
        <v>8</v>
      </c>
      <c r="S50" s="5">
        <v>0.84533431300514206</v>
      </c>
    </row>
    <row r="51" spans="1:19" x14ac:dyDescent="0.2">
      <c r="A51" s="5" t="s">
        <v>72</v>
      </c>
      <c r="D51" s="3">
        <v>50</v>
      </c>
      <c r="E51" s="5" t="s">
        <v>58</v>
      </c>
      <c r="F51" s="4" t="s">
        <v>21</v>
      </c>
      <c r="G51" s="5">
        <v>48.893930384642502</v>
      </c>
      <c r="H51" s="5">
        <v>-9.963697249325552</v>
      </c>
      <c r="I51" s="5">
        <v>85.118883676964657</v>
      </c>
      <c r="J51" s="5">
        <v>-36.224953292322148</v>
      </c>
      <c r="K51" s="5">
        <v>2.1011849328897698</v>
      </c>
      <c r="L51" s="5">
        <v>154.5406046760732</v>
      </c>
      <c r="M51" s="5">
        <v>-33.413830071121382</v>
      </c>
      <c r="N51" s="5">
        <v>-85.060286561071194</v>
      </c>
      <c r="O51" s="5">
        <v>80</v>
      </c>
      <c r="P51" s="5">
        <v>7.2604399906470043</v>
      </c>
      <c r="Q51" s="5">
        <v>-60.804117925815149</v>
      </c>
      <c r="R51" s="5">
        <v>7</v>
      </c>
      <c r="S51" s="5">
        <v>1</v>
      </c>
    </row>
    <row r="52" spans="1:19" x14ac:dyDescent="0.2">
      <c r="A52" s="5" t="s">
        <v>73</v>
      </c>
      <c r="D52" s="5">
        <v>51</v>
      </c>
      <c r="E52" s="5" t="s">
        <v>58</v>
      </c>
      <c r="F52" s="9" t="s">
        <v>21</v>
      </c>
      <c r="G52" s="5">
        <v>51.754792254281298</v>
      </c>
      <c r="H52" s="5">
        <v>-20.190463675335202</v>
      </c>
      <c r="I52" s="5">
        <v>90.593982863689902</v>
      </c>
      <c r="J52" s="5">
        <v>-38.839190609408597</v>
      </c>
      <c r="K52" s="5">
        <v>1.5409262718272501</v>
      </c>
      <c r="L52" s="5">
        <v>217.03095651008201</v>
      </c>
      <c r="M52" s="5">
        <v>-52.154727850324804</v>
      </c>
      <c r="N52" s="5">
        <v>49.663529476585197</v>
      </c>
      <c r="O52" s="5">
        <v>79</v>
      </c>
      <c r="P52" s="5">
        <v>11.9978139250321</v>
      </c>
      <c r="Q52" s="5">
        <v>-55.331189512690699</v>
      </c>
      <c r="R52" s="5">
        <v>8</v>
      </c>
      <c r="S52" s="5">
        <v>0.10721880246222699</v>
      </c>
    </row>
    <row r="53" spans="1:19" x14ac:dyDescent="0.2">
      <c r="A53" s="5" t="s">
        <v>74</v>
      </c>
      <c r="D53" s="3">
        <v>52</v>
      </c>
      <c r="E53" s="5" t="s">
        <v>58</v>
      </c>
      <c r="F53" s="4" t="s">
        <v>21</v>
      </c>
      <c r="G53" s="5">
        <v>50.283167457111702</v>
      </c>
      <c r="H53" s="5">
        <v>-17.625550976739099</v>
      </c>
      <c r="I53" s="5">
        <v>88.456556569828393</v>
      </c>
      <c r="J53" s="5">
        <v>-38.173389112716698</v>
      </c>
      <c r="K53" s="5">
        <v>1.59990299165593</v>
      </c>
      <c r="L53" s="5">
        <v>177.67196256098882</v>
      </c>
      <c r="M53" s="5">
        <v>-49.205642513874004</v>
      </c>
      <c r="N53" s="5">
        <v>27.1167073588189</v>
      </c>
      <c r="O53" s="5">
        <v>120</v>
      </c>
      <c r="P53" s="5">
        <v>12.0511522480435</v>
      </c>
      <c r="Q53" s="5">
        <v>-54.803493380884703</v>
      </c>
      <c r="R53" s="5">
        <v>7</v>
      </c>
      <c r="S53" s="5">
        <v>0.143890274314214</v>
      </c>
    </row>
    <row r="54" spans="1:19" x14ac:dyDescent="0.2">
      <c r="A54" s="5" t="s">
        <v>75</v>
      </c>
      <c r="D54" s="3">
        <v>53</v>
      </c>
      <c r="E54" s="5" t="s">
        <v>58</v>
      </c>
      <c r="F54" s="4" t="s">
        <v>21</v>
      </c>
      <c r="G54" s="5">
        <v>41.692450375580897</v>
      </c>
      <c r="H54" s="5">
        <v>-15.948493183206303</v>
      </c>
      <c r="I54" s="5">
        <v>81.814097049809604</v>
      </c>
      <c r="J54" s="5">
        <v>-40.1216466742287</v>
      </c>
      <c r="K54" s="5">
        <v>1.8122673667703599</v>
      </c>
      <c r="L54" s="5">
        <v>152.4384157149984</v>
      </c>
      <c r="M54" s="5">
        <v>-44.385391267751999</v>
      </c>
      <c r="N54" s="5">
        <v>12.858997743877101</v>
      </c>
      <c r="O54" s="5">
        <v>60</v>
      </c>
      <c r="P54" s="5">
        <v>2.2183119053132101</v>
      </c>
      <c r="Q54" s="5">
        <v>-52.482264572045302</v>
      </c>
      <c r="R54" s="5">
        <v>5</v>
      </c>
      <c r="S54" s="5">
        <v>0.48027958062905501</v>
      </c>
    </row>
    <row r="55" spans="1:19" x14ac:dyDescent="0.2">
      <c r="A55" s="5" t="s">
        <v>76</v>
      </c>
      <c r="D55" s="3">
        <v>54</v>
      </c>
      <c r="E55" s="5" t="s">
        <v>58</v>
      </c>
      <c r="F55" s="9" t="s">
        <v>21</v>
      </c>
      <c r="G55" s="5">
        <v>53.842892544028601</v>
      </c>
      <c r="H55" s="5">
        <v>-14.107017559720799</v>
      </c>
      <c r="I55" s="5">
        <v>93.833005266907406</v>
      </c>
      <c r="J55" s="5">
        <v>-39.990112722878848</v>
      </c>
      <c r="K55" s="5">
        <v>1.62453071176393</v>
      </c>
      <c r="L55" s="5">
        <v>227.04547010353221</v>
      </c>
      <c r="M55" s="5">
        <v>-45.923179851857796</v>
      </c>
      <c r="N55" s="5">
        <v>30.561220533556099</v>
      </c>
      <c r="O55" s="5">
        <v>160</v>
      </c>
      <c r="P55" s="5">
        <v>14.603895922634152</v>
      </c>
      <c r="Q55" s="5">
        <v>-58.202532993510999</v>
      </c>
      <c r="R55" s="5">
        <v>4</v>
      </c>
      <c r="S55" s="5">
        <v>0.36115054172515149</v>
      </c>
    </row>
    <row r="56" spans="1:19" x14ac:dyDescent="0.2">
      <c r="A56" s="5" t="s">
        <v>77</v>
      </c>
      <c r="D56" s="5">
        <v>55</v>
      </c>
      <c r="E56" s="5" t="s">
        <v>58</v>
      </c>
      <c r="F56" s="4" t="s">
        <v>21</v>
      </c>
      <c r="G56" s="5">
        <v>53.957984685786997</v>
      </c>
      <c r="H56" s="5">
        <v>-14.567386394582599</v>
      </c>
      <c r="I56" s="5">
        <v>93.389078092746999</v>
      </c>
      <c r="J56" s="5">
        <v>-39.431093406960002</v>
      </c>
      <c r="K56" s="5">
        <v>1.63701607516564</v>
      </c>
      <c r="L56" s="5">
        <v>211.495568850008</v>
      </c>
      <c r="M56" s="5">
        <v>-45.456574058426</v>
      </c>
      <c r="N56" s="5">
        <v>91.367788963230197</v>
      </c>
      <c r="O56" s="5">
        <v>140</v>
      </c>
      <c r="P56" s="5">
        <v>5.5939523844530399</v>
      </c>
      <c r="Q56" s="5">
        <v>-57.6044025394092</v>
      </c>
      <c r="R56" s="5">
        <v>5</v>
      </c>
      <c r="S56" s="5">
        <v>0.31414514145141398</v>
      </c>
    </row>
    <row r="57" spans="1:19" x14ac:dyDescent="0.2">
      <c r="A57" s="5" t="s">
        <v>78</v>
      </c>
      <c r="D57" s="3">
        <v>56</v>
      </c>
      <c r="E57" s="5" t="s">
        <v>20</v>
      </c>
      <c r="F57" s="9" t="s">
        <v>79</v>
      </c>
      <c r="G57" s="5">
        <v>44.027176807688001</v>
      </c>
      <c r="H57" s="5">
        <v>-12.693026889939404</v>
      </c>
      <c r="I57" s="5">
        <v>79.117649762432507</v>
      </c>
      <c r="J57" s="5">
        <v>-35.090472954744499</v>
      </c>
      <c r="K57" s="5">
        <v>1.6010823757875701</v>
      </c>
      <c r="L57" s="5">
        <v>131.57775868960439</v>
      </c>
      <c r="M57" s="5">
        <v>-41.8192073140644</v>
      </c>
      <c r="N57" s="5">
        <v>32.743785858949899</v>
      </c>
      <c r="O57" s="5">
        <v>280</v>
      </c>
      <c r="P57" s="5">
        <v>27.9533657053376</v>
      </c>
      <c r="Q57" s="5">
        <v>-62.1759841286108</v>
      </c>
      <c r="R57" s="5">
        <v>2</v>
      </c>
      <c r="S57" s="5">
        <v>1</v>
      </c>
    </row>
    <row r="58" spans="1:19" x14ac:dyDescent="0.2">
      <c r="A58" s="5" t="s">
        <v>80</v>
      </c>
      <c r="D58" s="3">
        <v>57</v>
      </c>
      <c r="E58" s="5" t="s">
        <v>20</v>
      </c>
      <c r="F58" s="9" t="s">
        <v>79</v>
      </c>
      <c r="G58" s="5">
        <v>49.321415509508597</v>
      </c>
      <c r="H58" s="5">
        <v>-12.923211123909695</v>
      </c>
      <c r="I58" s="5">
        <v>82.405995728583406</v>
      </c>
      <c r="J58" s="5">
        <v>-33.084580219074802</v>
      </c>
      <c r="K58" s="5">
        <v>1.5150933622445999</v>
      </c>
      <c r="L58" s="5">
        <v>143.06505076218039</v>
      </c>
      <c r="M58" s="5">
        <v>-42.173061294735199</v>
      </c>
      <c r="N58" s="5">
        <v>211.231168317098</v>
      </c>
      <c r="O58" s="5">
        <v>219</v>
      </c>
      <c r="P58" s="5">
        <v>0.38591448268113199</v>
      </c>
      <c r="Q58" s="5">
        <v>-67.593853396273303</v>
      </c>
      <c r="R58" s="5">
        <v>5</v>
      </c>
      <c r="S58" s="5">
        <v>0.32854615464668502</v>
      </c>
    </row>
    <row r="59" spans="1:19" x14ac:dyDescent="0.2">
      <c r="A59" s="5" t="s">
        <v>81</v>
      </c>
      <c r="D59" s="3">
        <v>58</v>
      </c>
      <c r="E59" s="5" t="s">
        <v>20</v>
      </c>
      <c r="F59" s="9" t="s">
        <v>79</v>
      </c>
      <c r="G59" s="5">
        <v>54.747187935910844</v>
      </c>
      <c r="H59" s="5">
        <v>-7.7933869649167526</v>
      </c>
      <c r="I59" s="5">
        <v>92.073738075078893</v>
      </c>
      <c r="J59" s="5">
        <v>-37.326550139168098</v>
      </c>
      <c r="K59" s="5">
        <v>1.6206677855450149</v>
      </c>
      <c r="L59" s="5">
        <v>196.253231123321</v>
      </c>
      <c r="M59" s="5">
        <v>-43.539917787721194</v>
      </c>
      <c r="N59" s="5">
        <v>158.8655354753285</v>
      </c>
      <c r="O59" s="5">
        <v>80</v>
      </c>
      <c r="P59" s="5">
        <v>10.416109390255301</v>
      </c>
      <c r="Q59" s="5">
        <v>-63.271616450774701</v>
      </c>
      <c r="R59" s="5">
        <v>15</v>
      </c>
      <c r="S59" s="5">
        <v>0.83054711246200252</v>
      </c>
    </row>
    <row r="60" spans="1:19" x14ac:dyDescent="0.2">
      <c r="A60" s="5" t="s">
        <v>82</v>
      </c>
      <c r="D60" s="5">
        <v>59</v>
      </c>
      <c r="E60" s="5" t="s">
        <v>20</v>
      </c>
      <c r="F60" s="9" t="s">
        <v>79</v>
      </c>
      <c r="G60" s="5">
        <v>45.276748688753599</v>
      </c>
      <c r="H60" s="5">
        <v>-14.139900378221903</v>
      </c>
      <c r="I60" s="5">
        <v>79.249183065718</v>
      </c>
      <c r="J60" s="5">
        <v>-33.9724343769645</v>
      </c>
      <c r="K60" s="5">
        <v>1.56954106202488</v>
      </c>
      <c r="L60" s="5">
        <v>137.4967841466472</v>
      </c>
      <c r="M60" s="5">
        <v>-43.172354256091992</v>
      </c>
      <c r="N60" s="5">
        <v>220.675220609842</v>
      </c>
      <c r="O60" s="5">
        <v>240</v>
      </c>
      <c r="P60" s="5">
        <v>0.71742980795325195</v>
      </c>
      <c r="Q60" s="5">
        <v>-70.572429621026998</v>
      </c>
      <c r="R60" s="5">
        <v>4</v>
      </c>
      <c r="S60" s="5">
        <v>0.85535647629712597</v>
      </c>
    </row>
    <row r="61" spans="1:19" x14ac:dyDescent="0.2">
      <c r="A61" s="5" t="s">
        <v>83</v>
      </c>
      <c r="D61" s="3">
        <v>60</v>
      </c>
      <c r="E61" s="5" t="s">
        <v>20</v>
      </c>
      <c r="F61" s="9" t="s">
        <v>79</v>
      </c>
      <c r="G61" s="5">
        <v>42.942022272522401</v>
      </c>
      <c r="H61" s="5">
        <v>-10.424065982848298</v>
      </c>
      <c r="I61" s="5">
        <v>77.4405924496008</v>
      </c>
      <c r="J61" s="5">
        <v>-34.498570177078399</v>
      </c>
      <c r="K61" s="5">
        <v>1.5843237887253701</v>
      </c>
      <c r="L61" s="5">
        <v>113.7768370428568</v>
      </c>
      <c r="M61" s="5">
        <v>-42.673788385827194</v>
      </c>
      <c r="N61" s="5">
        <v>94.460379071899098</v>
      </c>
      <c r="O61" s="5">
        <v>240</v>
      </c>
      <c r="P61" s="5">
        <v>0.14066077800360699</v>
      </c>
      <c r="Q61" s="5">
        <v>-70.494120833907502</v>
      </c>
      <c r="R61" s="5">
        <v>6</v>
      </c>
      <c r="S61" s="5">
        <v>0.47325792487082802</v>
      </c>
    </row>
    <row r="62" spans="1:19" x14ac:dyDescent="0.2">
      <c r="A62" s="5" t="s">
        <v>84</v>
      </c>
      <c r="D62" s="3">
        <v>61</v>
      </c>
      <c r="E62" s="5" t="s">
        <v>20</v>
      </c>
      <c r="F62" s="9" t="s">
        <v>79</v>
      </c>
      <c r="G62" s="5">
        <v>45.112331336463903</v>
      </c>
      <c r="H62" s="5">
        <v>-11.936706534403598</v>
      </c>
      <c r="I62" s="5">
        <v>79.512251050859305</v>
      </c>
      <c r="J62" s="5">
        <v>-34.399919714395502</v>
      </c>
      <c r="K62" s="5">
        <v>1.5682167486909899</v>
      </c>
      <c r="L62" s="5">
        <v>144.8282339023084</v>
      </c>
      <c r="M62" s="5">
        <v>-45.730978125400803</v>
      </c>
      <c r="N62" s="5">
        <v>161.82328621523899</v>
      </c>
      <c r="O62" s="5">
        <v>180</v>
      </c>
      <c r="P62" s="5">
        <v>0.51199115342993895</v>
      </c>
      <c r="Q62" s="5">
        <v>-61.483795024336203</v>
      </c>
      <c r="R62" s="5">
        <v>6</v>
      </c>
      <c r="S62" s="5">
        <v>0.62299690750632497</v>
      </c>
    </row>
    <row r="63" spans="1:19" x14ac:dyDescent="0.2">
      <c r="A63" s="5" t="s">
        <v>85</v>
      </c>
      <c r="D63" s="3">
        <v>62</v>
      </c>
      <c r="E63" s="5" t="s">
        <v>20</v>
      </c>
      <c r="F63" s="9" t="s">
        <v>79</v>
      </c>
      <c r="G63" s="5">
        <v>49.255648570029003</v>
      </c>
      <c r="H63" s="5">
        <v>-13.482230893977402</v>
      </c>
      <c r="I63" s="5">
        <v>86.384897779605595</v>
      </c>
      <c r="J63" s="5">
        <v>-37.129249209576599</v>
      </c>
      <c r="K63" s="5">
        <v>1.50973524699922</v>
      </c>
      <c r="L63" s="5">
        <v>179.2402511141772</v>
      </c>
      <c r="M63" s="5">
        <v>-46.322813978149604</v>
      </c>
      <c r="N63" s="5">
        <v>152.47924924102099</v>
      </c>
      <c r="O63" s="5">
        <v>159</v>
      </c>
      <c r="P63" s="5">
        <v>1.14184637332436</v>
      </c>
      <c r="Q63" s="5">
        <v>-64.338808920472999</v>
      </c>
      <c r="R63" s="5">
        <v>7</v>
      </c>
      <c r="S63" s="5">
        <v>0.201890614449696</v>
      </c>
    </row>
    <row r="64" spans="1:19" x14ac:dyDescent="0.2">
      <c r="A64" s="5" t="s">
        <v>86</v>
      </c>
      <c r="D64" s="5">
        <v>63</v>
      </c>
      <c r="E64" s="5" t="s">
        <v>20</v>
      </c>
      <c r="F64" s="9" t="s">
        <v>79</v>
      </c>
      <c r="G64" s="5">
        <v>45.3753991000574</v>
      </c>
      <c r="H64" s="5">
        <v>-11.805172477860502</v>
      </c>
      <c r="I64" s="5">
        <v>78.755930704426305</v>
      </c>
      <c r="J64" s="5">
        <v>-33.380531604368798</v>
      </c>
      <c r="K64" s="5">
        <v>1.6184465380983899</v>
      </c>
      <c r="L64" s="5">
        <v>126.43697290298479</v>
      </c>
      <c r="M64" s="5">
        <v>-44.437537661225605</v>
      </c>
      <c r="N64" s="5">
        <v>193.73489868857899</v>
      </c>
      <c r="O64" s="5">
        <v>100</v>
      </c>
      <c r="P64" s="5">
        <v>1.0395786488849501</v>
      </c>
      <c r="Q64" s="5">
        <v>-58.853344635645001</v>
      </c>
      <c r="R64" s="5">
        <v>11</v>
      </c>
      <c r="S64" s="5">
        <v>0.26249833355552599</v>
      </c>
    </row>
    <row r="65" spans="1:19" x14ac:dyDescent="0.2">
      <c r="A65" s="5" t="s">
        <v>87</v>
      </c>
      <c r="D65" s="3">
        <v>64</v>
      </c>
      <c r="E65" s="5" t="s">
        <v>20</v>
      </c>
      <c r="F65" s="9" t="s">
        <v>79</v>
      </c>
      <c r="G65" s="5">
        <v>37.746433800748704</v>
      </c>
      <c r="H65" s="5">
        <v>-13.235604404491099</v>
      </c>
      <c r="I65" s="5">
        <v>71.981936078101498</v>
      </c>
      <c r="J65" s="5">
        <v>-34.2355022773529</v>
      </c>
      <c r="K65" s="5">
        <v>1.7202185459402899</v>
      </c>
      <c r="L65" s="5">
        <v>91.8932534685446</v>
      </c>
      <c r="M65" s="5">
        <v>-42.356671830810996</v>
      </c>
      <c r="N65" s="5">
        <v>214.73282027165999</v>
      </c>
      <c r="O65" s="5">
        <v>129.5</v>
      </c>
      <c r="P65" s="5">
        <v>4.5023524851650949</v>
      </c>
      <c r="Q65" s="5">
        <v>-60.147432008763204</v>
      </c>
      <c r="R65" s="5">
        <v>5</v>
      </c>
      <c r="S65" s="5">
        <v>0.87977390772991093</v>
      </c>
    </row>
    <row r="66" spans="1:19" x14ac:dyDescent="0.2">
      <c r="A66" s="5" t="s">
        <v>88</v>
      </c>
      <c r="D66" s="3">
        <v>65</v>
      </c>
      <c r="E66" s="5" t="s">
        <v>20</v>
      </c>
      <c r="F66" s="9" t="s">
        <v>79</v>
      </c>
      <c r="G66" s="5">
        <v>52.017860008619301</v>
      </c>
      <c r="H66" s="5">
        <v>-1.1509221942384968</v>
      </c>
      <c r="I66" s="5">
        <v>100.19596174601099</v>
      </c>
      <c r="J66" s="5">
        <v>-48.178101737391401</v>
      </c>
      <c r="K66" s="5">
        <v>1.95156163702439</v>
      </c>
      <c r="L66" s="5">
        <v>198.71739379234521</v>
      </c>
      <c r="M66" s="5">
        <v>-38.042075692584319</v>
      </c>
      <c r="N66" s="5">
        <v>92.306051183179406</v>
      </c>
      <c r="O66" s="5">
        <v>60</v>
      </c>
      <c r="P66" s="5">
        <v>3.9154459588403001</v>
      </c>
      <c r="Q66" s="5">
        <v>-67.965940667157597</v>
      </c>
      <c r="R66" s="5">
        <v>20</v>
      </c>
      <c r="S66" s="5">
        <v>0.19184339314845</v>
      </c>
    </row>
    <row r="67" spans="1:19" x14ac:dyDescent="0.2">
      <c r="A67" s="5" t="s">
        <v>89</v>
      </c>
      <c r="D67" s="3">
        <v>66</v>
      </c>
      <c r="E67" s="5" t="s">
        <v>20</v>
      </c>
      <c r="F67" s="9" t="s">
        <v>79</v>
      </c>
      <c r="G67" s="5">
        <v>44.980797454527099</v>
      </c>
      <c r="H67" s="5">
        <v>-8.1879897009215057</v>
      </c>
      <c r="I67" s="5">
        <v>95.263442640930904</v>
      </c>
      <c r="J67" s="5">
        <v>-50.282645186403798</v>
      </c>
      <c r="K67" s="5">
        <v>1.9749429280841699</v>
      </c>
      <c r="L67" s="5">
        <v>180.06054354709642</v>
      </c>
      <c r="M67" s="5">
        <v>-39.292973722671398</v>
      </c>
      <c r="N67" s="5">
        <v>32.299496437477302</v>
      </c>
      <c r="O67" s="5">
        <v>120</v>
      </c>
      <c r="P67" s="5">
        <v>10.9105090540964</v>
      </c>
      <c r="Q67" s="5">
        <v>-69.011559301674595</v>
      </c>
      <c r="R67" s="5">
        <v>9</v>
      </c>
      <c r="S67" s="5">
        <v>5.3998252997697199E-2</v>
      </c>
    </row>
    <row r="68" spans="1:19" x14ac:dyDescent="0.2">
      <c r="A68" s="5" t="s">
        <v>90</v>
      </c>
      <c r="D68" s="5">
        <v>67</v>
      </c>
      <c r="E68" s="5" t="s">
        <v>20</v>
      </c>
      <c r="F68" s="9" t="s">
        <v>79</v>
      </c>
      <c r="G68" s="5">
        <v>50.9984724585509</v>
      </c>
      <c r="H68" s="5">
        <v>-2.3018443771902</v>
      </c>
      <c r="I68" s="5">
        <v>97.992768521578</v>
      </c>
      <c r="J68" s="5">
        <v>-46.9942960630271</v>
      </c>
      <c r="K68" s="5">
        <v>2.1178389569983902</v>
      </c>
      <c r="L68" s="5">
        <v>179.87263113302402</v>
      </c>
      <c r="M68" s="5">
        <v>-35.030577672397158</v>
      </c>
      <c r="N68" s="5">
        <v>169.16556529109599</v>
      </c>
      <c r="O68" s="5">
        <v>39</v>
      </c>
      <c r="P68" s="5">
        <v>2.1049419159403202</v>
      </c>
      <c r="Q68" s="5">
        <v>-64.816212023454398</v>
      </c>
      <c r="R68" s="5">
        <v>15</v>
      </c>
      <c r="S68" s="5">
        <v>0.19250253292806499</v>
      </c>
    </row>
    <row r="69" spans="1:19" x14ac:dyDescent="0.2">
      <c r="A69" s="5" t="s">
        <v>91</v>
      </c>
      <c r="D69" s="3">
        <v>68</v>
      </c>
      <c r="E69" s="5" t="s">
        <v>20</v>
      </c>
      <c r="F69" s="9" t="s">
        <v>79</v>
      </c>
      <c r="G69" s="5">
        <v>54.736777241516897</v>
      </c>
      <c r="H69" s="5">
        <v>-2.5320288038513041</v>
      </c>
      <c r="I69" s="5">
        <v>102.037434780616</v>
      </c>
      <c r="J69" s="5">
        <v>-47.300657539099099</v>
      </c>
      <c r="K69" s="5">
        <v>2.0259056848928201</v>
      </c>
      <c r="L69" s="5">
        <v>207.06473333615639</v>
      </c>
      <c r="M69" s="5">
        <v>-36.9669202211076</v>
      </c>
      <c r="N69" s="5">
        <v>96.130223625824698</v>
      </c>
      <c r="O69" s="5">
        <v>100</v>
      </c>
      <c r="P69" s="5">
        <v>4.8576899122854504</v>
      </c>
      <c r="Q69" s="5">
        <v>-69.532863298637196</v>
      </c>
      <c r="R69" s="5">
        <v>18</v>
      </c>
      <c r="S69" s="5">
        <v>0.235738571968267</v>
      </c>
    </row>
    <row r="70" spans="1:19" x14ac:dyDescent="0.2">
      <c r="A70" s="5" t="s">
        <v>92</v>
      </c>
      <c r="D70" s="3">
        <v>69</v>
      </c>
      <c r="E70" s="5" t="s">
        <v>20</v>
      </c>
      <c r="F70" s="9" t="s">
        <v>79</v>
      </c>
      <c r="G70" s="5">
        <v>53.333198774924</v>
      </c>
      <c r="H70" s="5">
        <v>-3.3869996056275014</v>
      </c>
      <c r="I70" s="5">
        <v>100.59056276461401</v>
      </c>
      <c r="J70" s="5">
        <v>-47.2573639896899</v>
      </c>
      <c r="K70" s="5">
        <v>1.91931835830585</v>
      </c>
      <c r="L70" s="5">
        <v>202.66340929247002</v>
      </c>
      <c r="M70" s="5">
        <v>-38.645918095493556</v>
      </c>
      <c r="N70" s="5">
        <v>185.16383155418899</v>
      </c>
      <c r="O70" s="5">
        <v>19</v>
      </c>
      <c r="P70" s="5">
        <v>7.65795408380664</v>
      </c>
      <c r="Q70" s="5">
        <v>-58.1214478795928</v>
      </c>
      <c r="R70" s="5">
        <v>14</v>
      </c>
      <c r="S70" s="5">
        <v>3.1767289869823703E-2</v>
      </c>
    </row>
    <row r="71" spans="1:19" x14ac:dyDescent="0.2">
      <c r="A71" s="5" t="s">
        <v>93</v>
      </c>
      <c r="D71" s="3">
        <v>70</v>
      </c>
      <c r="E71" s="5" t="s">
        <v>20</v>
      </c>
      <c r="F71" s="9" t="s">
        <v>79</v>
      </c>
      <c r="G71" s="5">
        <v>56.194060560897</v>
      </c>
      <c r="H71" s="5">
        <v>-2.7622133358994958</v>
      </c>
      <c r="I71" s="5">
        <v>106.674006697485</v>
      </c>
      <c r="J71" s="5">
        <v>-50.479946136588502</v>
      </c>
      <c r="K71" s="5">
        <v>2.0027646323524402</v>
      </c>
      <c r="L71" s="5">
        <v>254.75727641974001</v>
      </c>
      <c r="M71" s="5">
        <v>-38.78287391472324</v>
      </c>
      <c r="N71" s="5">
        <v>132.87305373893901</v>
      </c>
      <c r="O71" s="5">
        <v>60</v>
      </c>
      <c r="P71" s="5">
        <v>6.1769083315485798</v>
      </c>
      <c r="Q71" s="5">
        <v>-67.844250731051901</v>
      </c>
      <c r="R71" s="5">
        <v>17</v>
      </c>
      <c r="S71" s="5">
        <v>0.14389505549949499</v>
      </c>
    </row>
    <row r="72" spans="1:19" x14ac:dyDescent="0.2">
      <c r="A72" s="5" t="s">
        <v>94</v>
      </c>
      <c r="D72" s="5">
        <v>71</v>
      </c>
      <c r="E72" s="5" t="s">
        <v>20</v>
      </c>
      <c r="F72" s="9" t="s">
        <v>79</v>
      </c>
      <c r="G72" s="5">
        <v>46.559204031621697</v>
      </c>
      <c r="H72" s="5">
        <v>-3.3869997071021984</v>
      </c>
      <c r="I72" s="5">
        <v>97.499519053205105</v>
      </c>
      <c r="J72" s="5">
        <v>-50.940315021583302</v>
      </c>
      <c r="K72" s="5">
        <v>2.06531378722919</v>
      </c>
      <c r="L72" s="5">
        <v>188.85235558687239</v>
      </c>
      <c r="M72" s="5">
        <v>-39.438254504618122</v>
      </c>
      <c r="N72" s="5">
        <v>18.6294983829373</v>
      </c>
      <c r="O72" s="5">
        <v>79</v>
      </c>
      <c r="P72" s="5">
        <v>7.2015126628739603</v>
      </c>
      <c r="Q72" s="5">
        <v>-63.817991874690797</v>
      </c>
      <c r="R72" s="5">
        <v>16</v>
      </c>
      <c r="S72" s="5">
        <v>0.11727078891258</v>
      </c>
    </row>
    <row r="73" spans="1:19" x14ac:dyDescent="0.2">
      <c r="A73" s="5" t="s">
        <v>95</v>
      </c>
      <c r="D73" s="3">
        <v>72</v>
      </c>
      <c r="E73" s="5" t="s">
        <v>20</v>
      </c>
      <c r="F73" s="9" t="s">
        <v>79</v>
      </c>
      <c r="G73" s="5">
        <v>56.358477903648897</v>
      </c>
      <c r="H73" s="5">
        <v>-5.9847955147928005</v>
      </c>
      <c r="I73" s="5">
        <v>104.273511712429</v>
      </c>
      <c r="J73" s="5">
        <v>-47.9150338087804</v>
      </c>
      <c r="K73" s="5">
        <v>1.82029399465654</v>
      </c>
      <c r="L73" s="5">
        <v>241.9626118874196</v>
      </c>
      <c r="M73" s="5">
        <v>-42.715639745781203</v>
      </c>
      <c r="N73" s="5">
        <v>88.474498629078795</v>
      </c>
      <c r="O73" s="5">
        <v>100</v>
      </c>
      <c r="P73" s="5">
        <v>4.1105756764219104</v>
      </c>
      <c r="Q73" s="5">
        <v>-67.616163598920394</v>
      </c>
      <c r="R73" s="5">
        <v>17</v>
      </c>
      <c r="S73" s="5">
        <v>0.451730418943533</v>
      </c>
    </row>
    <row r="74" spans="1:19" x14ac:dyDescent="0.2">
      <c r="A74" s="5" t="s">
        <v>96</v>
      </c>
      <c r="D74" s="3">
        <v>73</v>
      </c>
      <c r="E74" s="5" t="s">
        <v>20</v>
      </c>
      <c r="F74" s="9" t="s">
        <v>79</v>
      </c>
      <c r="G74" s="5">
        <v>52.478228577845599</v>
      </c>
      <c r="H74" s="5">
        <v>-2.4333783203628001</v>
      </c>
      <c r="I74" s="5">
        <v>98.321602468247093</v>
      </c>
      <c r="J74" s="5">
        <v>-45.843373890401502</v>
      </c>
      <c r="K74" s="5">
        <v>2.1461919437099302</v>
      </c>
      <c r="L74" s="5">
        <v>175.87963364983</v>
      </c>
      <c r="M74" s="5">
        <v>-37.733792477815882</v>
      </c>
      <c r="N74" s="5">
        <v>100.456690588928</v>
      </c>
      <c r="O74" s="5">
        <v>100</v>
      </c>
      <c r="P74" s="5">
        <v>2.8203166295713</v>
      </c>
      <c r="Q74" s="5">
        <v>-65.552169061842804</v>
      </c>
      <c r="R74" s="5">
        <v>18</v>
      </c>
      <c r="S74" s="5">
        <v>0.13042671614100201</v>
      </c>
    </row>
    <row r="75" spans="1:19" x14ac:dyDescent="0.2">
      <c r="A75" s="5" t="s">
        <v>97</v>
      </c>
      <c r="D75" s="3">
        <v>74</v>
      </c>
      <c r="E75" s="5" t="s">
        <v>20</v>
      </c>
      <c r="F75" s="9" t="s">
        <v>79</v>
      </c>
      <c r="G75" s="5">
        <v>52.60976243384745</v>
      </c>
      <c r="H75" s="5">
        <v>-4.5214801137476002</v>
      </c>
      <c r="I75" s="5">
        <v>100.67277195441631</v>
      </c>
      <c r="J75" s="5">
        <v>-48.063009520569096</v>
      </c>
      <c r="K75" s="5">
        <v>1.6177853220521099</v>
      </c>
      <c r="L75" s="5">
        <v>221.84620379870381</v>
      </c>
      <c r="M75" s="5">
        <v>-42.074874195135607</v>
      </c>
      <c r="N75" s="5">
        <v>81.012131048209895</v>
      </c>
      <c r="O75" s="5">
        <v>100</v>
      </c>
      <c r="P75" s="5">
        <v>14.110876831887051</v>
      </c>
      <c r="Q75" s="5">
        <v>-67.317038265318303</v>
      </c>
      <c r="R75" s="5">
        <v>17</v>
      </c>
      <c r="S75" s="5">
        <v>0.22561636516512751</v>
      </c>
    </row>
    <row r="76" spans="1:19" x14ac:dyDescent="0.2">
      <c r="A76" s="5" t="s">
        <v>98</v>
      </c>
      <c r="D76" s="5">
        <v>75</v>
      </c>
      <c r="E76" s="5" t="s">
        <v>20</v>
      </c>
      <c r="F76" s="9" t="s">
        <v>79</v>
      </c>
      <c r="G76" s="5">
        <v>49.255648562608243</v>
      </c>
      <c r="H76" s="5">
        <v>-6.4122811547555969</v>
      </c>
      <c r="I76" s="5">
        <v>100.65633249772699</v>
      </c>
      <c r="J76" s="5">
        <v>-51.400683935118806</v>
      </c>
      <c r="K76" s="5">
        <v>1.886100713294445</v>
      </c>
      <c r="L76" s="5">
        <v>209.46776364517061</v>
      </c>
      <c r="M76" s="5">
        <v>-43.461930659295405</v>
      </c>
      <c r="N76" s="5">
        <v>161.37731375093799</v>
      </c>
      <c r="O76" s="5">
        <v>39</v>
      </c>
      <c r="P76" s="5">
        <v>9.2383766253319592</v>
      </c>
      <c r="Q76" s="5">
        <v>-67.174404027156555</v>
      </c>
      <c r="R76" s="5">
        <v>22</v>
      </c>
      <c r="S76" s="5">
        <v>0.279526290697514</v>
      </c>
    </row>
    <row r="77" spans="1:19" x14ac:dyDescent="0.2">
      <c r="A77" s="5" t="s">
        <v>99</v>
      </c>
      <c r="D77" s="3">
        <v>76</v>
      </c>
      <c r="E77" s="5" t="s">
        <v>20</v>
      </c>
      <c r="F77" s="9" t="s">
        <v>79</v>
      </c>
      <c r="G77" s="5">
        <v>50.044851842279698</v>
      </c>
      <c r="H77" s="5">
        <v>-4.209086928372102</v>
      </c>
      <c r="I77" s="5">
        <v>98.058536124224005</v>
      </c>
      <c r="J77" s="5">
        <v>-48.013684281944201</v>
      </c>
      <c r="K77" s="5">
        <v>1.95662773792517</v>
      </c>
      <c r="L77" s="5">
        <v>206.61786158918881</v>
      </c>
      <c r="M77" s="5">
        <v>-41.2064023629828</v>
      </c>
      <c r="N77" s="5">
        <v>157.10422127421401</v>
      </c>
      <c r="O77" s="5">
        <v>60</v>
      </c>
      <c r="P77" s="5">
        <v>4.8972145548021304</v>
      </c>
      <c r="Q77" s="5">
        <v>-67.552876865207395</v>
      </c>
      <c r="R77" s="5">
        <v>22</v>
      </c>
      <c r="S77" s="5">
        <v>0.22145454545454599</v>
      </c>
    </row>
    <row r="78" spans="1:19" x14ac:dyDescent="0.2">
      <c r="A78" s="5" t="s">
        <v>100</v>
      </c>
      <c r="D78" s="3">
        <v>77</v>
      </c>
      <c r="E78" s="5" t="s">
        <v>20</v>
      </c>
      <c r="F78" s="9" t="s">
        <v>79</v>
      </c>
      <c r="G78" s="5">
        <v>48.334911404245744</v>
      </c>
      <c r="H78" s="5">
        <v>-4.1433198947892969</v>
      </c>
      <c r="I78" s="5">
        <v>94.852396851855644</v>
      </c>
      <c r="J78" s="5">
        <v>-46.5174854476099</v>
      </c>
      <c r="K78" s="5">
        <v>2.0953698966704399</v>
      </c>
      <c r="L78" s="5">
        <v>162.7309424118572</v>
      </c>
      <c r="M78" s="5">
        <v>-39.533720956437904</v>
      </c>
      <c r="N78" s="5">
        <v>56.044481884428301</v>
      </c>
      <c r="O78" s="5">
        <v>120</v>
      </c>
      <c r="P78" s="5">
        <v>10.427102926702471</v>
      </c>
      <c r="Q78" s="5">
        <v>-65.480256427101693</v>
      </c>
      <c r="R78" s="5">
        <v>14</v>
      </c>
      <c r="S78" s="5">
        <v>0.2478847842300545</v>
      </c>
    </row>
    <row r="79" spans="1:19" x14ac:dyDescent="0.2">
      <c r="A79" s="5" t="s">
        <v>101</v>
      </c>
      <c r="D79" s="3">
        <v>78</v>
      </c>
      <c r="E79" s="5" t="s">
        <v>20</v>
      </c>
      <c r="F79" s="9" t="s">
        <v>79</v>
      </c>
      <c r="G79" s="5">
        <v>50.834055111257797</v>
      </c>
      <c r="H79" s="5">
        <v>-4.0446694858903953</v>
      </c>
      <c r="I79" s="5">
        <v>99.4067587426117</v>
      </c>
      <c r="J79" s="5">
        <v>-48.572703631353903</v>
      </c>
      <c r="K79" s="5">
        <v>1.9125960164584901</v>
      </c>
      <c r="L79" s="5">
        <v>196.08671394137042</v>
      </c>
      <c r="M79" s="5">
        <v>-42.240849151871203</v>
      </c>
      <c r="N79" s="5">
        <v>141.235207266938</v>
      </c>
      <c r="O79" s="5">
        <v>60</v>
      </c>
      <c r="P79" s="5">
        <v>3.6870833953931301</v>
      </c>
      <c r="Q79" s="5">
        <v>-66.949916234525404</v>
      </c>
      <c r="R79" s="5">
        <v>21</v>
      </c>
      <c r="S79" s="5">
        <v>0.17449664429530201</v>
      </c>
    </row>
    <row r="80" spans="1:19" x14ac:dyDescent="0.2">
      <c r="A80" s="5" t="s">
        <v>102</v>
      </c>
      <c r="D80" s="5">
        <v>79</v>
      </c>
      <c r="E80" s="5" t="s">
        <v>20</v>
      </c>
      <c r="F80" s="9" t="s">
        <v>79</v>
      </c>
      <c r="G80" s="5">
        <v>36.266677563366351</v>
      </c>
      <c r="H80" s="5">
        <v>-5.1955919353234492</v>
      </c>
      <c r="I80" s="5">
        <v>89.459511797752697</v>
      </c>
      <c r="J80" s="5">
        <v>-53.192834234386353</v>
      </c>
      <c r="K80" s="5">
        <v>2.228780266972175</v>
      </c>
      <c r="L80" s="5">
        <v>144.45850722377719</v>
      </c>
      <c r="M80" s="5">
        <v>-37.308036932595357</v>
      </c>
      <c r="N80" s="5">
        <v>141.83029155557799</v>
      </c>
      <c r="O80" s="5">
        <v>49.5</v>
      </c>
      <c r="P80" s="5">
        <v>13.133681637829349</v>
      </c>
      <c r="Q80" s="5">
        <v>-69.312372371792051</v>
      </c>
      <c r="R80" s="5">
        <v>20</v>
      </c>
      <c r="S80" s="5">
        <v>0.52343549635737041</v>
      </c>
    </row>
    <row r="81" spans="1:19" x14ac:dyDescent="0.2">
      <c r="A81" s="5" t="s">
        <v>103</v>
      </c>
      <c r="D81" s="3">
        <v>80</v>
      </c>
      <c r="E81" s="5" t="s">
        <v>20</v>
      </c>
      <c r="F81" s="9" t="s">
        <v>79</v>
      </c>
      <c r="G81" s="5">
        <v>70.465485414355996</v>
      </c>
      <c r="H81" s="5">
        <v>-9.3060264372249009</v>
      </c>
      <c r="I81" s="5">
        <v>92.534097872011799</v>
      </c>
      <c r="J81" s="5">
        <v>-22.068612457655899</v>
      </c>
      <c r="K81" s="5">
        <v>1.84310625015162</v>
      </c>
      <c r="L81" s="5">
        <v>151.2639815728088</v>
      </c>
      <c r="M81" s="5">
        <v>-46.571221326221597</v>
      </c>
      <c r="N81" s="5">
        <v>231.69771949927201</v>
      </c>
      <c r="O81" s="5">
        <v>240</v>
      </c>
      <c r="P81" s="5">
        <v>5.6582529638275902</v>
      </c>
      <c r="Q81" s="5">
        <v>-49.558062458012401</v>
      </c>
      <c r="R81" s="5">
        <v>5</v>
      </c>
      <c r="S81" s="5">
        <v>0.88183832963956699</v>
      </c>
    </row>
    <row r="82" spans="1:19" x14ac:dyDescent="0.2">
      <c r="A82" s="5" t="s">
        <v>104</v>
      </c>
      <c r="D82" s="3">
        <v>81</v>
      </c>
      <c r="E82" s="5" t="s">
        <v>20</v>
      </c>
      <c r="F82" s="9" t="s">
        <v>79</v>
      </c>
      <c r="G82" s="5">
        <v>40.407161041157302</v>
      </c>
      <c r="H82" s="5">
        <v>-8.3524071365627037</v>
      </c>
      <c r="I82" s="5">
        <v>90.824173765020902</v>
      </c>
      <c r="J82" s="5">
        <v>-50.417012723863699</v>
      </c>
      <c r="K82" s="5">
        <v>1.8259290383556099</v>
      </c>
      <c r="L82" s="5">
        <v>165.5918150720172</v>
      </c>
      <c r="M82" s="5">
        <v>-44.896018794812001</v>
      </c>
      <c r="N82" s="5">
        <v>192.97279482861899</v>
      </c>
      <c r="O82" s="5">
        <v>60</v>
      </c>
      <c r="P82" s="5">
        <v>7.9033619214123503</v>
      </c>
      <c r="Q82" s="5">
        <v>-69.389780591414905</v>
      </c>
      <c r="R82" s="5">
        <v>17</v>
      </c>
      <c r="S82" s="5">
        <v>0.131571275872121</v>
      </c>
    </row>
    <row r="83" spans="1:19" x14ac:dyDescent="0.2">
      <c r="A83" s="5" t="s">
        <v>105</v>
      </c>
      <c r="D83" s="3">
        <v>82</v>
      </c>
      <c r="E83" s="5" t="s">
        <v>58</v>
      </c>
      <c r="F83" s="9" t="s">
        <v>79</v>
      </c>
      <c r="G83" s="5">
        <v>48.959697340005199</v>
      </c>
      <c r="H83" s="5">
        <v>-1.7592667726154971</v>
      </c>
      <c r="I83" s="5">
        <v>96.184177839809109</v>
      </c>
      <c r="J83" s="5">
        <v>-47.224480499803853</v>
      </c>
      <c r="K83" s="5">
        <v>2.2748726816411953</v>
      </c>
      <c r="L83" s="5">
        <v>155.970453586807</v>
      </c>
      <c r="M83" s="5">
        <v>-29.872922087016079</v>
      </c>
      <c r="N83" s="5">
        <v>145.50629292288599</v>
      </c>
      <c r="O83" s="5">
        <v>49.5</v>
      </c>
      <c r="P83" s="5">
        <v>7.9717952727927397</v>
      </c>
      <c r="Q83" s="5">
        <v>-64.507713557768696</v>
      </c>
      <c r="R83" s="5">
        <v>9</v>
      </c>
      <c r="S83" s="5">
        <v>1</v>
      </c>
    </row>
    <row r="84" spans="1:19" x14ac:dyDescent="0.2">
      <c r="A84" s="5" t="s">
        <v>106</v>
      </c>
      <c r="D84" s="5">
        <v>83</v>
      </c>
      <c r="E84" s="5" t="s">
        <v>58</v>
      </c>
      <c r="F84" s="9" t="s">
        <v>79</v>
      </c>
      <c r="G84" s="5">
        <v>44.734171425111199</v>
      </c>
      <c r="H84" s="5">
        <v>-0.97006298228405186</v>
      </c>
      <c r="I84" s="5">
        <v>91.646258761197259</v>
      </c>
      <c r="J84" s="5">
        <v>-46.912087336086046</v>
      </c>
      <c r="K84" s="5">
        <v>2.6809936153537848</v>
      </c>
      <c r="L84" s="5">
        <v>142.20049802000142</v>
      </c>
      <c r="M84" s="5">
        <v>-25.44634186721062</v>
      </c>
      <c r="N84" s="5">
        <v>116.51795644140699</v>
      </c>
      <c r="O84" s="5">
        <v>59</v>
      </c>
      <c r="P84" s="5">
        <v>13.579209784270695</v>
      </c>
      <c r="Q84" s="5">
        <v>-63.272757952242202</v>
      </c>
      <c r="R84" s="5">
        <v>10</v>
      </c>
      <c r="S84" s="12" t="s">
        <v>53</v>
      </c>
    </row>
    <row r="85" spans="1:19" x14ac:dyDescent="0.2">
      <c r="A85" s="5" t="s">
        <v>107</v>
      </c>
      <c r="D85" s="3">
        <v>84</v>
      </c>
      <c r="E85" s="5" t="s">
        <v>58</v>
      </c>
      <c r="F85" s="9" t="s">
        <v>79</v>
      </c>
      <c r="G85" s="5">
        <v>40.767947228997798</v>
      </c>
      <c r="H85" s="5">
        <v>-2.0387763934583001</v>
      </c>
      <c r="I85" s="5">
        <v>84.822936742120703</v>
      </c>
      <c r="J85" s="5">
        <v>-44.054989513122848</v>
      </c>
      <c r="K85" s="5">
        <v>0.86737697686256543</v>
      </c>
      <c r="L85" s="5">
        <v>103.0662231372676</v>
      </c>
      <c r="M85" s="5">
        <v>-22.332251351561041</v>
      </c>
      <c r="N85" s="5">
        <v>186.38937486047399</v>
      </c>
      <c r="O85" s="5">
        <v>39</v>
      </c>
      <c r="P85" s="5">
        <v>9.3867133805447551</v>
      </c>
      <c r="Q85" s="5">
        <v>-58.644394791051397</v>
      </c>
      <c r="R85" s="5">
        <v>9</v>
      </c>
      <c r="S85" s="12" t="s">
        <v>53</v>
      </c>
    </row>
    <row r="86" spans="1:19" x14ac:dyDescent="0.2">
      <c r="A86" s="5" t="s">
        <v>108</v>
      </c>
      <c r="D86" s="3">
        <v>85</v>
      </c>
      <c r="E86" s="5" t="s">
        <v>58</v>
      </c>
      <c r="F86" s="9" t="s">
        <v>79</v>
      </c>
      <c r="G86" s="5">
        <v>33.570232833907902</v>
      </c>
      <c r="H86" s="5">
        <v>-17.3953667925784</v>
      </c>
      <c r="I86" s="5">
        <v>72.968442752043302</v>
      </c>
      <c r="J86" s="5">
        <v>-39.3982099181354</v>
      </c>
      <c r="K86" s="5">
        <v>2.0624620484840102</v>
      </c>
      <c r="L86" s="5">
        <v>108.9410395087596</v>
      </c>
      <c r="M86" s="5">
        <v>-28.123206483921003</v>
      </c>
      <c r="N86" s="5">
        <v>87.973430478659907</v>
      </c>
      <c r="O86" s="5">
        <v>95</v>
      </c>
      <c r="P86" s="5">
        <v>17.942574351466899</v>
      </c>
      <c r="Q86" s="5">
        <v>-66.346728688743397</v>
      </c>
      <c r="R86" s="5">
        <v>17</v>
      </c>
      <c r="S86" s="5">
        <v>0.54482036972445202</v>
      </c>
    </row>
    <row r="87" spans="1:19" x14ac:dyDescent="0.2">
      <c r="A87" s="5" t="s">
        <v>109</v>
      </c>
      <c r="D87" s="3">
        <v>86</v>
      </c>
      <c r="E87" s="5" t="s">
        <v>58</v>
      </c>
      <c r="F87" s="9" t="s">
        <v>79</v>
      </c>
      <c r="G87" s="5">
        <v>49.423542957148101</v>
      </c>
      <c r="H87" s="5">
        <v>-1.3646648903955985</v>
      </c>
      <c r="I87" s="5">
        <v>97.976327523892152</v>
      </c>
      <c r="J87" s="5">
        <v>-48.552784566744052</v>
      </c>
      <c r="K87" s="5">
        <v>1.4032357161325804</v>
      </c>
      <c r="L87" s="5">
        <v>164.6777244303434</v>
      </c>
      <c r="M87" s="5">
        <v>-30.422652074246137</v>
      </c>
      <c r="N87" s="5">
        <v>188.35835486878599</v>
      </c>
      <c r="O87" s="5">
        <v>49.5</v>
      </c>
      <c r="P87" s="5">
        <v>17.060312449252599</v>
      </c>
      <c r="Q87" s="5">
        <v>-66.454338017982153</v>
      </c>
      <c r="R87" s="5">
        <v>14</v>
      </c>
      <c r="S87" s="5">
        <v>1</v>
      </c>
    </row>
    <row r="88" spans="1:19" x14ac:dyDescent="0.2">
      <c r="A88" s="5" t="s">
        <v>110</v>
      </c>
      <c r="D88" s="5">
        <v>87</v>
      </c>
      <c r="E88" s="5" t="s">
        <v>58</v>
      </c>
      <c r="F88" s="9" t="s">
        <v>79</v>
      </c>
      <c r="G88" s="5">
        <v>46.5920875018356</v>
      </c>
      <c r="H88" s="5">
        <v>1.7428250393083005</v>
      </c>
      <c r="I88" s="5">
        <v>96.3814803141601</v>
      </c>
      <c r="J88" s="5">
        <v>-49.7893928123245</v>
      </c>
      <c r="K88" s="5">
        <v>2.6161624805359698</v>
      </c>
      <c r="L88" s="5">
        <v>148.83885181823041</v>
      </c>
      <c r="M88" s="5">
        <v>-27.637782527501077</v>
      </c>
      <c r="N88" s="5">
        <v>162.91955561774799</v>
      </c>
      <c r="O88" s="5">
        <v>39</v>
      </c>
      <c r="P88" s="5">
        <v>18.564973772150001</v>
      </c>
      <c r="Q88" s="5">
        <v>-68.364638445661996</v>
      </c>
      <c r="R88" s="5">
        <v>15</v>
      </c>
      <c r="S88" s="12" t="s">
        <v>53</v>
      </c>
    </row>
    <row r="89" spans="1:19" x14ac:dyDescent="0.2">
      <c r="A89" s="5" t="s">
        <v>111</v>
      </c>
      <c r="D89" s="3">
        <v>88</v>
      </c>
      <c r="E89" s="5" t="s">
        <v>58</v>
      </c>
      <c r="F89" s="9" t="s">
        <v>79</v>
      </c>
      <c r="G89" s="5">
        <v>43.188648300297501</v>
      </c>
      <c r="H89" s="5">
        <v>0.73987856230540316</v>
      </c>
      <c r="I89" s="5">
        <v>94.5893322093455</v>
      </c>
      <c r="J89" s="5">
        <v>-51.400683909047999</v>
      </c>
      <c r="K89" s="5">
        <v>2.3851147919887898</v>
      </c>
      <c r="L89" s="5">
        <v>147.7870659875334</v>
      </c>
      <c r="M89" s="5">
        <v>-30.563797231619382</v>
      </c>
      <c r="N89" s="5">
        <v>23.278980137831098</v>
      </c>
      <c r="O89" s="5">
        <v>129.5</v>
      </c>
      <c r="P89" s="5">
        <v>7.821959551948245</v>
      </c>
      <c r="Q89" s="5">
        <v>-67.797597617485948</v>
      </c>
      <c r="R89" s="5">
        <v>11</v>
      </c>
      <c r="S89" s="5">
        <v>0.123839922704647</v>
      </c>
    </row>
    <row r="90" spans="1:19" x14ac:dyDescent="0.2">
      <c r="A90" s="5" t="s">
        <v>112</v>
      </c>
      <c r="D90" s="3">
        <v>89</v>
      </c>
      <c r="E90" s="5" t="s">
        <v>58</v>
      </c>
      <c r="F90" s="9" t="s">
        <v>79</v>
      </c>
      <c r="G90" s="5">
        <v>45.638466863278097</v>
      </c>
      <c r="H90" s="5">
        <v>-4.7352226102649979</v>
      </c>
      <c r="I90" s="5">
        <v>88.555210133739806</v>
      </c>
      <c r="J90" s="5">
        <v>-42.916743270461701</v>
      </c>
      <c r="K90" s="5">
        <v>2.12513569338534</v>
      </c>
      <c r="L90" s="5">
        <v>132.1529028197524</v>
      </c>
      <c r="M90" s="5">
        <v>-28.44640284909136</v>
      </c>
      <c r="N90" s="5">
        <v>157.33046199838401</v>
      </c>
      <c r="O90" s="5">
        <v>79</v>
      </c>
      <c r="P90" s="5">
        <v>4.7159565812497402</v>
      </c>
      <c r="Q90" s="5">
        <v>-70.533278469241594</v>
      </c>
      <c r="R90" s="5">
        <v>16</v>
      </c>
      <c r="S90" s="5">
        <v>1</v>
      </c>
    </row>
    <row r="91" spans="1:19" x14ac:dyDescent="0.2">
      <c r="A91" s="5" t="s">
        <v>113</v>
      </c>
      <c r="D91" s="3">
        <v>90</v>
      </c>
      <c r="E91" s="5" t="s">
        <v>58</v>
      </c>
      <c r="F91" s="9" t="s">
        <v>79</v>
      </c>
      <c r="G91" s="5">
        <v>35.371791502069399</v>
      </c>
      <c r="H91" s="5">
        <v>-2.1703104555233992</v>
      </c>
      <c r="I91" s="5">
        <v>86.812390057200304</v>
      </c>
      <c r="J91" s="5">
        <v>-51.440598555130897</v>
      </c>
      <c r="K91" s="5">
        <v>2.6233235072570298</v>
      </c>
      <c r="L91" s="5">
        <v>126.4917919998792</v>
      </c>
      <c r="M91" s="5">
        <v>-22.98952895407972</v>
      </c>
      <c r="N91" s="5">
        <v>35.523157290132701</v>
      </c>
      <c r="O91" s="5">
        <v>100</v>
      </c>
      <c r="P91" s="5">
        <v>11.4149214071912</v>
      </c>
      <c r="Q91" s="5">
        <v>-68.889754503445303</v>
      </c>
      <c r="R91" s="5">
        <v>6</v>
      </c>
      <c r="S91" s="5">
        <v>6.1777939924601698E-2</v>
      </c>
    </row>
    <row r="92" spans="1:19" x14ac:dyDescent="0.2">
      <c r="A92" s="5" t="s">
        <v>114</v>
      </c>
      <c r="D92" s="5">
        <v>91</v>
      </c>
      <c r="E92" s="5" t="s">
        <v>58</v>
      </c>
      <c r="F92" s="9" t="s">
        <v>79</v>
      </c>
      <c r="G92" s="5">
        <v>47.611475075600801</v>
      </c>
      <c r="H92" s="5">
        <v>-5.8861447918833036</v>
      </c>
      <c r="I92" s="5">
        <v>90.363800897520804</v>
      </c>
      <c r="J92" s="5">
        <v>-42.752325821919896</v>
      </c>
      <c r="K92" s="5">
        <v>2.33903289523544</v>
      </c>
      <c r="L92" s="5">
        <v>164.04158498126802</v>
      </c>
      <c r="M92" s="5">
        <v>-25.534404698998681</v>
      </c>
      <c r="N92" s="5">
        <v>164.26303815651801</v>
      </c>
      <c r="O92" s="5">
        <v>100</v>
      </c>
      <c r="P92" s="5">
        <v>2.27942212380758</v>
      </c>
      <c r="Q92" s="5">
        <v>-73.022478520497401</v>
      </c>
      <c r="R92" s="5">
        <v>12</v>
      </c>
      <c r="S92" s="5">
        <v>1</v>
      </c>
    </row>
    <row r="93" spans="1:19" x14ac:dyDescent="0.2">
      <c r="A93" s="5" t="s">
        <v>115</v>
      </c>
      <c r="D93" s="3">
        <v>92</v>
      </c>
      <c r="E93" s="5" t="s">
        <v>58</v>
      </c>
      <c r="F93" s="9" t="s">
        <v>79</v>
      </c>
      <c r="G93" s="5">
        <v>50.209269190252897</v>
      </c>
      <c r="H93" s="5">
        <v>-3.8144851373886013</v>
      </c>
      <c r="I93" s="5">
        <v>101.905904526645</v>
      </c>
      <c r="J93" s="5">
        <v>-51.696635336392397</v>
      </c>
      <c r="K93" s="5">
        <v>2.3953073063680002</v>
      </c>
      <c r="L93" s="5">
        <v>172.17789861875241</v>
      </c>
      <c r="M93" s="5">
        <v>-30.634412732928361</v>
      </c>
      <c r="N93" s="5">
        <v>168.13961174871901</v>
      </c>
      <c r="O93" s="5">
        <v>39</v>
      </c>
      <c r="P93" s="5">
        <v>8.1327103758875694</v>
      </c>
      <c r="Q93" s="5">
        <v>-67.945805013226007</v>
      </c>
      <c r="R93" s="5">
        <v>16</v>
      </c>
      <c r="S93" s="12" t="s">
        <v>53</v>
      </c>
    </row>
    <row r="94" spans="1:19" x14ac:dyDescent="0.2">
      <c r="A94" s="5" t="s">
        <v>116</v>
      </c>
      <c r="D94" s="3">
        <v>93</v>
      </c>
      <c r="E94" s="5" t="s">
        <v>58</v>
      </c>
      <c r="F94" s="9" t="s">
        <v>79</v>
      </c>
      <c r="G94" s="5">
        <v>41.1169896057485</v>
      </c>
      <c r="H94" s="5">
        <v>-6.9384167653642486</v>
      </c>
      <c r="I94" s="5">
        <v>88.390795361855112</v>
      </c>
      <c r="J94" s="5">
        <v>-47.273805756106597</v>
      </c>
      <c r="K94" s="5">
        <v>2.5350833760421549</v>
      </c>
      <c r="L94" s="5">
        <v>119.4708772766266</v>
      </c>
      <c r="M94" s="5">
        <v>-28.7108143758079</v>
      </c>
      <c r="N94" s="5">
        <v>148.82986451280499</v>
      </c>
      <c r="O94" s="5">
        <v>9.5</v>
      </c>
      <c r="P94" s="5">
        <v>4.6043772051053802</v>
      </c>
      <c r="Q94" s="5">
        <v>-58.78768710372745</v>
      </c>
      <c r="R94" s="5">
        <v>12</v>
      </c>
      <c r="S94" s="12" t="s">
        <v>53</v>
      </c>
    </row>
    <row r="95" spans="1:19" x14ac:dyDescent="0.2">
      <c r="A95" s="5" t="s">
        <v>117</v>
      </c>
      <c r="D95" s="3">
        <v>94</v>
      </c>
      <c r="E95" s="5" t="s">
        <v>58</v>
      </c>
      <c r="F95" s="9" t="s">
        <v>79</v>
      </c>
      <c r="G95" s="5">
        <v>51.097122866859003</v>
      </c>
      <c r="H95" s="5">
        <v>-3.682950971393403</v>
      </c>
      <c r="I95" s="5">
        <v>96.3157104394149</v>
      </c>
      <c r="J95" s="5">
        <v>-45.218587572555897</v>
      </c>
      <c r="K95" s="5">
        <v>1.9751651596117199</v>
      </c>
      <c r="L95" s="5">
        <v>160.5946895557764</v>
      </c>
      <c r="M95" s="5">
        <v>-32.911268754829642</v>
      </c>
      <c r="N95" s="5">
        <v>91.816030740995203</v>
      </c>
      <c r="O95" s="5">
        <v>100</v>
      </c>
      <c r="P95" s="5">
        <v>4.2133562365019896</v>
      </c>
      <c r="Q95" s="5">
        <v>-71.072332163037402</v>
      </c>
      <c r="R95" s="5">
        <v>15</v>
      </c>
      <c r="S95" s="5">
        <v>1</v>
      </c>
    </row>
    <row r="96" spans="1:19" x14ac:dyDescent="0.2">
      <c r="A96" s="5" t="s">
        <v>118</v>
      </c>
      <c r="D96" s="5">
        <v>95</v>
      </c>
      <c r="E96" s="5" t="s">
        <v>58</v>
      </c>
      <c r="F96" s="9" t="s">
        <v>79</v>
      </c>
      <c r="G96" s="5">
        <v>22.455618740751699</v>
      </c>
      <c r="H96" s="5">
        <v>-4.9654073604227023</v>
      </c>
      <c r="I96" s="5">
        <v>73.165749319622194</v>
      </c>
      <c r="J96" s="5">
        <v>-50.710130578870398</v>
      </c>
      <c r="K96" s="5">
        <v>2.9607505765645001</v>
      </c>
      <c r="L96" s="5">
        <v>77.358396597806006</v>
      </c>
      <c r="M96" s="5">
        <v>-20.073872760472561</v>
      </c>
      <c r="N96" s="5">
        <v>281.84700740726799</v>
      </c>
      <c r="O96" s="5">
        <v>120</v>
      </c>
      <c r="P96" s="5">
        <v>8.8349886152914703</v>
      </c>
      <c r="Q96" s="5">
        <v>-62.663993919990901</v>
      </c>
      <c r="R96" s="5">
        <v>2</v>
      </c>
      <c r="S96" s="12" t="s">
        <v>53</v>
      </c>
    </row>
    <row r="97" spans="1:19" x14ac:dyDescent="0.2">
      <c r="A97" s="5" t="s">
        <v>119</v>
      </c>
      <c r="D97" s="3">
        <v>96</v>
      </c>
      <c r="E97" s="5" t="s">
        <v>58</v>
      </c>
      <c r="F97" s="9" t="s">
        <v>79</v>
      </c>
      <c r="G97" s="5">
        <v>33.595551762559296</v>
      </c>
      <c r="H97" s="5">
        <v>-0.69055336007259882</v>
      </c>
      <c r="I97" s="5">
        <v>85.612144099397909</v>
      </c>
      <c r="J97" s="5">
        <v>-52.016592336838599</v>
      </c>
      <c r="K97" s="5">
        <v>2.4040749949445797</v>
      </c>
      <c r="L97" s="5">
        <v>124.3201125997484</v>
      </c>
      <c r="M97" s="5">
        <v>-28.35615170362404</v>
      </c>
      <c r="N97" s="5">
        <v>30.872904081730201</v>
      </c>
      <c r="O97" s="5">
        <v>69.5</v>
      </c>
      <c r="P97" s="5">
        <v>6.7632359363521557</v>
      </c>
      <c r="Q97" s="5">
        <v>-68.649653230779549</v>
      </c>
      <c r="R97" s="5">
        <v>9.5</v>
      </c>
      <c r="S97" s="5">
        <v>0.22433139687025649</v>
      </c>
    </row>
    <row r="98" spans="1:19" x14ac:dyDescent="0.2">
      <c r="A98" s="5" t="s">
        <v>120</v>
      </c>
      <c r="D98" s="3">
        <v>97</v>
      </c>
      <c r="E98" s="5" t="s">
        <v>58</v>
      </c>
      <c r="F98" s="9" t="s">
        <v>79</v>
      </c>
      <c r="G98" s="5">
        <v>30.084584705146199</v>
      </c>
      <c r="H98" s="5">
        <v>-0.82208732398649431</v>
      </c>
      <c r="I98" s="5">
        <v>84.740734361865094</v>
      </c>
      <c r="J98" s="5">
        <v>-54.656149656718902</v>
      </c>
      <c r="K98" s="5">
        <v>2.9126980301639498</v>
      </c>
      <c r="L98" s="5">
        <v>106.0163480653592</v>
      </c>
      <c r="M98" s="5">
        <v>-25.047589621668884</v>
      </c>
      <c r="N98" s="5">
        <v>47.813989710527203</v>
      </c>
      <c r="O98" s="5">
        <v>100</v>
      </c>
      <c r="P98" s="5">
        <v>3.6753750453472298</v>
      </c>
      <c r="Q98" s="5">
        <v>-78.6881068162932</v>
      </c>
      <c r="R98" s="5">
        <v>16</v>
      </c>
      <c r="S98" s="5">
        <v>0.71665133394664404</v>
      </c>
    </row>
    <row r="99" spans="1:19" x14ac:dyDescent="0.2">
      <c r="A99" s="5" t="s">
        <v>121</v>
      </c>
      <c r="D99" s="3">
        <v>98</v>
      </c>
      <c r="E99" s="5" t="s">
        <v>58</v>
      </c>
      <c r="F99" s="9" t="s">
        <v>79</v>
      </c>
      <c r="G99" s="5">
        <v>46.44411185046085</v>
      </c>
      <c r="H99" s="5">
        <v>-1.2988979348893466</v>
      </c>
      <c r="I99" s="5">
        <v>96.332155146321298</v>
      </c>
      <c r="J99" s="5">
        <v>-49.888043295860456</v>
      </c>
      <c r="K99" s="5">
        <v>2.3471852527969448</v>
      </c>
      <c r="L99" s="5">
        <v>170.61467015476421</v>
      </c>
      <c r="M99" s="5">
        <v>-30.124860913093904</v>
      </c>
      <c r="N99" s="5">
        <v>321.00786378392502</v>
      </c>
      <c r="O99" s="5">
        <v>29</v>
      </c>
      <c r="P99" s="5">
        <v>8.6586976119474492</v>
      </c>
      <c r="Q99" s="5">
        <v>-67.422662029133591</v>
      </c>
      <c r="R99" s="5">
        <v>18</v>
      </c>
      <c r="S99" s="5">
        <v>0.153501367293368</v>
      </c>
    </row>
    <row r="100" spans="1:19" x14ac:dyDescent="0.2">
      <c r="A100" s="5" t="s">
        <v>122</v>
      </c>
      <c r="D100" s="5">
        <v>99</v>
      </c>
      <c r="E100" s="5" t="s">
        <v>58</v>
      </c>
      <c r="F100" s="9" t="s">
        <v>79</v>
      </c>
      <c r="G100" s="5">
        <v>50.538103885773701</v>
      </c>
      <c r="H100" s="5">
        <v>-13.515114869359699</v>
      </c>
      <c r="I100" s="5">
        <v>92.139507573877793</v>
      </c>
      <c r="J100" s="5">
        <v>-41.601403688104099</v>
      </c>
      <c r="K100" s="5">
        <v>1.9552007132907501</v>
      </c>
      <c r="L100" s="5">
        <v>190.2309246196196</v>
      </c>
      <c r="M100" s="5">
        <v>-39.160186095288722</v>
      </c>
      <c r="N100" s="5">
        <v>27.695119728482599</v>
      </c>
      <c r="O100" s="5">
        <v>159</v>
      </c>
      <c r="P100" s="5">
        <v>31.187182772650502</v>
      </c>
      <c r="Q100" s="5">
        <v>-67.144413129036593</v>
      </c>
      <c r="R100" s="5">
        <v>6</v>
      </c>
      <c r="S100" s="5">
        <v>0.13412335039051901</v>
      </c>
    </row>
    <row r="101" spans="1:19" x14ac:dyDescent="0.2">
      <c r="A101" s="5" t="s">
        <v>123</v>
      </c>
      <c r="D101" s="3">
        <v>100</v>
      </c>
      <c r="E101" s="5" t="s">
        <v>58</v>
      </c>
      <c r="F101" s="9" t="s">
        <v>79</v>
      </c>
      <c r="G101" s="5">
        <v>43.106439626747502</v>
      </c>
      <c r="H101" s="5">
        <v>-8.4839411900203032</v>
      </c>
      <c r="I101" s="5">
        <v>94.013871156488307</v>
      </c>
      <c r="J101" s="5">
        <v>-50.907431529740798</v>
      </c>
      <c r="K101" s="5">
        <v>1.86921748866075</v>
      </c>
      <c r="L101" s="5">
        <v>170.05456957707281</v>
      </c>
      <c r="M101" s="5">
        <v>-36.574917328606162</v>
      </c>
      <c r="N101" s="5">
        <v>40.786724450102099</v>
      </c>
      <c r="O101" s="5">
        <v>60</v>
      </c>
      <c r="P101" s="5">
        <v>31.403303971656602</v>
      </c>
      <c r="Q101" s="5">
        <v>-65.570469604298907</v>
      </c>
      <c r="R101" s="5">
        <v>14</v>
      </c>
      <c r="S101" s="5">
        <v>0.15382290722272601</v>
      </c>
    </row>
    <row r="102" spans="1:19" x14ac:dyDescent="0.2">
      <c r="A102" s="5" t="s">
        <v>124</v>
      </c>
      <c r="D102" s="3">
        <v>101</v>
      </c>
      <c r="E102" s="5" t="s">
        <v>58</v>
      </c>
      <c r="F102" s="9" t="s">
        <v>79</v>
      </c>
      <c r="G102" s="5">
        <v>51.0313559279926</v>
      </c>
      <c r="H102" s="5">
        <v>-7.7933877201377015</v>
      </c>
      <c r="I102" s="5">
        <v>100.45903033391301</v>
      </c>
      <c r="J102" s="5">
        <v>-49.427674405919902</v>
      </c>
      <c r="K102" s="5">
        <v>2.0648839079701098</v>
      </c>
      <c r="L102" s="5">
        <v>187.62373660783521</v>
      </c>
      <c r="M102" s="5">
        <v>-37.785173925091243</v>
      </c>
      <c r="N102" s="5">
        <v>202.346160702578</v>
      </c>
      <c r="O102" s="5">
        <v>39</v>
      </c>
      <c r="P102" s="5">
        <v>12.866792287135199</v>
      </c>
      <c r="Q102" s="5">
        <v>-64.341484688494305</v>
      </c>
      <c r="R102" s="5">
        <v>18</v>
      </c>
      <c r="S102" s="12" t="s">
        <v>53</v>
      </c>
    </row>
    <row r="103" spans="1:19" x14ac:dyDescent="0.2">
      <c r="A103" s="5" t="s">
        <v>125</v>
      </c>
      <c r="D103" s="3">
        <v>102</v>
      </c>
      <c r="E103" s="5" t="s">
        <v>58</v>
      </c>
      <c r="F103" s="9" t="s">
        <v>79</v>
      </c>
      <c r="G103" s="5">
        <v>46.46643827632905</v>
      </c>
      <c r="H103" s="5">
        <v>-8.1551061441669503</v>
      </c>
      <c r="I103" s="5">
        <v>96.118412206748303</v>
      </c>
      <c r="J103" s="5">
        <v>-49.651973930419246</v>
      </c>
      <c r="K103" s="5">
        <v>2.0857082297245553</v>
      </c>
      <c r="L103" s="5">
        <v>195.47520582246597</v>
      </c>
      <c r="M103" s="5">
        <v>-37.370553878444397</v>
      </c>
      <c r="N103" s="5">
        <v>162.71896787816701</v>
      </c>
      <c r="O103" s="5">
        <v>60</v>
      </c>
      <c r="P103" s="5">
        <v>12.658767142860551</v>
      </c>
      <c r="Q103" s="5">
        <v>-66.7983666559157</v>
      </c>
      <c r="R103" s="5">
        <v>18</v>
      </c>
      <c r="S103" s="12" t="s">
        <v>53</v>
      </c>
    </row>
    <row r="104" spans="1:19" x14ac:dyDescent="0.2">
      <c r="A104" s="5" t="s">
        <v>126</v>
      </c>
      <c r="D104" s="5">
        <v>103</v>
      </c>
      <c r="E104" s="5" t="s">
        <v>58</v>
      </c>
      <c r="F104" s="9" t="s">
        <v>79</v>
      </c>
      <c r="G104" s="5">
        <v>43.435274334755803</v>
      </c>
      <c r="H104" s="5">
        <v>-5.9190286840130995</v>
      </c>
      <c r="I104" s="5">
        <v>94.540006815683697</v>
      </c>
      <c r="J104" s="5">
        <v>-51.1047324809279</v>
      </c>
      <c r="K104" s="5">
        <v>1.78452744567883</v>
      </c>
      <c r="L104" s="5">
        <v>112.7604567405368</v>
      </c>
      <c r="M104" s="5">
        <v>-33.512140094665085</v>
      </c>
      <c r="N104" s="5">
        <v>159.580532836934</v>
      </c>
      <c r="O104" s="5">
        <v>60</v>
      </c>
      <c r="P104" s="5">
        <v>12.086184974681199</v>
      </c>
      <c r="Q104" s="5">
        <v>-68.565258990264496</v>
      </c>
      <c r="R104" s="5">
        <v>17</v>
      </c>
      <c r="S104" s="5">
        <v>1</v>
      </c>
    </row>
    <row r="105" spans="1:19" x14ac:dyDescent="0.2">
      <c r="A105" s="5" t="s">
        <v>127</v>
      </c>
      <c r="D105" s="3">
        <v>104</v>
      </c>
      <c r="E105" s="5" t="s">
        <v>58</v>
      </c>
      <c r="F105" s="9" t="s">
        <v>79</v>
      </c>
      <c r="G105" s="5">
        <v>44.816380101974801</v>
      </c>
      <c r="H105" s="5">
        <v>-12.5943773309127</v>
      </c>
      <c r="I105" s="5">
        <v>88.982695988350898</v>
      </c>
      <c r="J105" s="5">
        <v>-44.166315886376097</v>
      </c>
      <c r="K105" s="5">
        <v>1.88665711552761</v>
      </c>
      <c r="L105" s="5">
        <v>170.63996254854283</v>
      </c>
      <c r="M105" s="5">
        <v>-42.945825210225607</v>
      </c>
      <c r="N105" s="5">
        <v>135.81676220677701</v>
      </c>
      <c r="O105" s="5">
        <v>100</v>
      </c>
      <c r="P105" s="5">
        <v>13.124138109972799</v>
      </c>
      <c r="Q105" s="5">
        <v>-68.030771208622298</v>
      </c>
      <c r="R105" s="5">
        <v>19</v>
      </c>
      <c r="S105" s="5">
        <v>0.26907894736841997</v>
      </c>
    </row>
    <row r="106" spans="1:19" x14ac:dyDescent="0.2">
      <c r="A106" s="5" t="s">
        <v>128</v>
      </c>
      <c r="D106" s="3">
        <v>105</v>
      </c>
      <c r="E106" s="5" t="s">
        <v>58</v>
      </c>
      <c r="F106" s="9" t="s">
        <v>79</v>
      </c>
      <c r="G106" s="5">
        <v>45.770000744748799</v>
      </c>
      <c r="H106" s="5">
        <v>-7.2014847139560985</v>
      </c>
      <c r="I106" s="5">
        <v>93.093131716191294</v>
      </c>
      <c r="J106" s="5">
        <v>-47.323130971442502</v>
      </c>
      <c r="K106" s="5">
        <v>1.9250493093197001</v>
      </c>
      <c r="L106" s="5">
        <v>167.32993388808839</v>
      </c>
      <c r="M106" s="5">
        <v>-36.192706917329517</v>
      </c>
      <c r="N106" s="5">
        <v>207.36692339129999</v>
      </c>
      <c r="O106" s="5">
        <v>60</v>
      </c>
      <c r="P106" s="5">
        <v>11.471250533340401</v>
      </c>
      <c r="Q106" s="5">
        <v>-66.645196471030403</v>
      </c>
      <c r="R106" s="5">
        <v>20</v>
      </c>
      <c r="S106" s="5">
        <v>0.184064920693471</v>
      </c>
    </row>
    <row r="107" spans="1:19" x14ac:dyDescent="0.2">
      <c r="A107" s="5" t="s">
        <v>129</v>
      </c>
      <c r="D107" s="3">
        <v>106</v>
      </c>
      <c r="E107" s="5" t="s">
        <v>58</v>
      </c>
      <c r="F107" s="9" t="s">
        <v>79</v>
      </c>
      <c r="G107" s="5">
        <v>51.721908784963702</v>
      </c>
      <c r="H107" s="5">
        <v>1.3153396989763999</v>
      </c>
      <c r="I107" s="5">
        <v>105.654621601184</v>
      </c>
      <c r="J107" s="5">
        <v>-53.9327128162207</v>
      </c>
      <c r="K107" s="5">
        <v>2.07894602792256</v>
      </c>
      <c r="L107" s="5">
        <v>221.68524158403639</v>
      </c>
      <c r="M107" s="5">
        <v>-31.724338069036563</v>
      </c>
      <c r="N107" s="5">
        <v>146.510232819094</v>
      </c>
      <c r="O107" s="5">
        <v>60</v>
      </c>
      <c r="P107" s="5">
        <v>3.5278789831119401</v>
      </c>
      <c r="Q107" s="5">
        <v>-67.679506498405203</v>
      </c>
      <c r="R107" s="5">
        <v>25</v>
      </c>
      <c r="S107" s="5">
        <v>0.150111468912559</v>
      </c>
    </row>
    <row r="108" spans="1:19" x14ac:dyDescent="0.2">
      <c r="A108" s="5" t="s">
        <v>130</v>
      </c>
      <c r="D108" s="5">
        <v>107</v>
      </c>
      <c r="E108" s="5" t="s">
        <v>58</v>
      </c>
      <c r="F108" s="9" t="s">
        <v>79</v>
      </c>
      <c r="G108" s="5">
        <v>51.064239397428601</v>
      </c>
      <c r="H108" s="5">
        <v>-5.9519120333074014</v>
      </c>
      <c r="I108" s="5">
        <v>99.209457643713193</v>
      </c>
      <c r="J108" s="5">
        <v>-48.1452182462846</v>
      </c>
      <c r="K108" s="5">
        <v>1.9876769535691601</v>
      </c>
      <c r="L108" s="5">
        <v>185.5097974824676</v>
      </c>
      <c r="M108" s="5">
        <v>-38.332742353387516</v>
      </c>
      <c r="N108" s="5">
        <v>135.02690925076499</v>
      </c>
      <c r="O108" s="5">
        <v>120</v>
      </c>
      <c r="P108" s="5">
        <v>11.6887387824834</v>
      </c>
      <c r="Q108" s="5">
        <v>-73.688506863299395</v>
      </c>
      <c r="R108" s="5">
        <v>14</v>
      </c>
      <c r="S108" s="5">
        <v>0.171718452758402</v>
      </c>
    </row>
    <row r="109" spans="1:19" x14ac:dyDescent="0.2">
      <c r="A109" s="5" t="s">
        <v>131</v>
      </c>
      <c r="D109" s="3">
        <v>108</v>
      </c>
      <c r="E109" s="5" t="s">
        <v>58</v>
      </c>
      <c r="F109" s="9" t="s">
        <v>79</v>
      </c>
      <c r="G109" s="5">
        <v>47.282640374992198</v>
      </c>
      <c r="H109" s="5">
        <v>-9.141609365068998</v>
      </c>
      <c r="I109" s="5">
        <v>74.612610456370902</v>
      </c>
      <c r="J109" s="5">
        <v>-27.3299700813788</v>
      </c>
      <c r="K109" s="5">
        <v>1.91544565600212</v>
      </c>
      <c r="L109" s="5">
        <v>101.66186752352721</v>
      </c>
      <c r="M109" s="5">
        <v>-33.58986438264624</v>
      </c>
      <c r="N109" s="5">
        <v>117.070177204714</v>
      </c>
      <c r="O109" s="5">
        <v>159</v>
      </c>
      <c r="P109" s="5">
        <v>12.811518675376499</v>
      </c>
      <c r="Q109" s="5">
        <v>-59.206868359020604</v>
      </c>
      <c r="R109" s="5">
        <v>7</v>
      </c>
      <c r="S109" s="5">
        <v>0.415207734517899</v>
      </c>
    </row>
    <row r="110" spans="1:19" x14ac:dyDescent="0.2">
      <c r="A110" s="5" t="s">
        <v>132</v>
      </c>
      <c r="D110" s="3">
        <v>109</v>
      </c>
      <c r="E110" s="5" t="s">
        <v>58</v>
      </c>
      <c r="F110" s="9" t="s">
        <v>79</v>
      </c>
      <c r="G110" s="5">
        <v>46.197485858886402</v>
      </c>
      <c r="H110" s="5">
        <v>-9.7992792018474972</v>
      </c>
      <c r="I110" s="5">
        <v>74.513960517591997</v>
      </c>
      <c r="J110" s="5">
        <v>-28.316474658705602</v>
      </c>
      <c r="K110" s="5">
        <v>1.9019929878575501</v>
      </c>
      <c r="L110" s="5">
        <v>112.11331724407999</v>
      </c>
      <c r="M110" s="5">
        <v>-30.709825037607203</v>
      </c>
      <c r="N110" s="5">
        <v>63.284772781681703</v>
      </c>
      <c r="O110" s="5">
        <v>100</v>
      </c>
      <c r="P110" s="5">
        <v>4.9644570330251598</v>
      </c>
      <c r="Q110" s="5">
        <v>-55.974767197445303</v>
      </c>
      <c r="R110" s="5">
        <v>7</v>
      </c>
      <c r="S110" s="5">
        <v>7.7311714252144101E-2</v>
      </c>
    </row>
    <row r="111" spans="1:19" x14ac:dyDescent="0.2">
      <c r="A111" s="5" t="s">
        <v>133</v>
      </c>
      <c r="D111" s="3">
        <v>110</v>
      </c>
      <c r="E111" s="5" t="s">
        <v>58</v>
      </c>
      <c r="F111" s="9" t="s">
        <v>79</v>
      </c>
      <c r="G111" s="5">
        <v>44.027176807688001</v>
      </c>
      <c r="H111" s="5">
        <v>-10.3582989597964</v>
      </c>
      <c r="I111" s="5">
        <v>77.999611184652494</v>
      </c>
      <c r="J111" s="5">
        <v>-33.9724343769645</v>
      </c>
      <c r="K111" s="5">
        <v>1.7277913504237701</v>
      </c>
      <c r="L111" s="5">
        <v>120.933828282706</v>
      </c>
      <c r="M111" s="5">
        <v>-39.350563520122243</v>
      </c>
      <c r="N111" s="5">
        <v>129.789086120939</v>
      </c>
      <c r="O111" s="5">
        <v>140</v>
      </c>
      <c r="P111" s="5">
        <v>12.5930634282656</v>
      </c>
      <c r="Q111" s="5">
        <v>-62.620772025081401</v>
      </c>
      <c r="R111" s="5">
        <v>7</v>
      </c>
      <c r="S111" s="5">
        <v>0.12864077669902901</v>
      </c>
    </row>
    <row r="112" spans="1:19" x14ac:dyDescent="0.2">
      <c r="A112" s="5" t="s">
        <v>134</v>
      </c>
      <c r="D112" s="5">
        <v>111</v>
      </c>
      <c r="E112" s="5" t="s">
        <v>20</v>
      </c>
      <c r="F112" s="9" t="s">
        <v>135</v>
      </c>
      <c r="G112" s="5">
        <v>46.789388314876398</v>
      </c>
      <c r="H112" s="5">
        <v>-6.6424652566443001</v>
      </c>
      <c r="I112" s="5">
        <v>92.550553479077138</v>
      </c>
      <c r="J112" s="5">
        <v>-45.761165164200797</v>
      </c>
      <c r="K112" s="5">
        <v>1.606901188521215</v>
      </c>
      <c r="L112" s="5">
        <v>168.22718172333259</v>
      </c>
      <c r="M112" s="5">
        <v>-43.739492344931001</v>
      </c>
      <c r="N112" s="5">
        <v>132.94659920840999</v>
      </c>
      <c r="O112" s="5">
        <v>130</v>
      </c>
      <c r="P112" s="5">
        <v>4.0837043342667654</v>
      </c>
      <c r="Q112" s="5">
        <v>-65.106794314531498</v>
      </c>
      <c r="R112" s="5">
        <v>14</v>
      </c>
      <c r="S112" s="12" t="s">
        <v>53</v>
      </c>
    </row>
    <row r="113" spans="1:34" x14ac:dyDescent="0.2">
      <c r="A113" s="5" t="s">
        <v>136</v>
      </c>
      <c r="D113" s="3">
        <v>112</v>
      </c>
      <c r="E113" s="5" t="s">
        <v>20</v>
      </c>
      <c r="F113" s="9" t="s">
        <v>135</v>
      </c>
      <c r="G113" s="5">
        <v>47.9403097756338</v>
      </c>
      <c r="H113" s="5">
        <v>-3.8144850155992955</v>
      </c>
      <c r="I113" s="5">
        <v>95.723809620317695</v>
      </c>
      <c r="J113" s="5">
        <v>-47.783499844683902</v>
      </c>
      <c r="K113" s="5">
        <v>1.66997599744904</v>
      </c>
      <c r="L113" s="5">
        <v>156.64867462725641</v>
      </c>
      <c r="M113" s="5">
        <v>-43.629553300033201</v>
      </c>
      <c r="N113" s="5">
        <v>151.738593896585</v>
      </c>
      <c r="O113" s="5">
        <v>159</v>
      </c>
      <c r="P113" s="5">
        <v>1.0351134193559699</v>
      </c>
      <c r="Q113" s="5">
        <v>-71.6779291599846</v>
      </c>
      <c r="R113" s="5">
        <v>10</v>
      </c>
      <c r="S113" s="5">
        <v>0.66743827160493896</v>
      </c>
    </row>
    <row r="114" spans="1:34" x14ac:dyDescent="0.2">
      <c r="A114" s="5" t="s">
        <v>137</v>
      </c>
      <c r="D114" s="3">
        <v>113</v>
      </c>
      <c r="E114" s="5" t="s">
        <v>20</v>
      </c>
      <c r="F114" s="9" t="s">
        <v>135</v>
      </c>
      <c r="G114" s="5">
        <v>48.433561824606002</v>
      </c>
      <c r="H114" s="5">
        <v>-4.7681063428449022</v>
      </c>
      <c r="I114" s="5">
        <v>97.631051790638296</v>
      </c>
      <c r="J114" s="5">
        <v>-49.1974899660323</v>
      </c>
      <c r="K114" s="5">
        <v>1.5793729079488801</v>
      </c>
      <c r="L114" s="5">
        <v>167.57421154304322</v>
      </c>
      <c r="M114" s="5">
        <v>-46.397946113958795</v>
      </c>
      <c r="N114" s="5">
        <v>142.97809977693501</v>
      </c>
      <c r="O114" s="5">
        <v>140</v>
      </c>
      <c r="P114" s="5">
        <v>1.44871164112262</v>
      </c>
      <c r="Q114" s="5">
        <v>-73.818069071813795</v>
      </c>
      <c r="R114" s="5">
        <v>9</v>
      </c>
      <c r="S114" s="5">
        <v>0.50729115175481998</v>
      </c>
    </row>
    <row r="115" spans="1:34" x14ac:dyDescent="0.2">
      <c r="A115" s="5" t="s">
        <v>138</v>
      </c>
      <c r="D115" s="3">
        <v>114</v>
      </c>
      <c r="E115" s="5" t="s">
        <v>20</v>
      </c>
      <c r="F115" s="9" t="s">
        <v>135</v>
      </c>
      <c r="G115" s="5">
        <v>46.361903210216703</v>
      </c>
      <c r="H115" s="5">
        <v>-6.1820963998249994</v>
      </c>
      <c r="I115" s="5">
        <v>92.862946912247807</v>
      </c>
      <c r="J115" s="5">
        <v>-46.501043702031097</v>
      </c>
      <c r="K115" s="5">
        <v>1.6283354858458301</v>
      </c>
      <c r="L115" s="5">
        <v>159.55064129347119</v>
      </c>
      <c r="M115" s="5">
        <v>-45.010907839477198</v>
      </c>
      <c r="N115" s="5">
        <v>116.162043544545</v>
      </c>
      <c r="O115" s="5">
        <v>60</v>
      </c>
      <c r="P115" s="5">
        <v>0.97936985549425304</v>
      </c>
      <c r="Q115" s="5">
        <v>-59.971141744903598</v>
      </c>
      <c r="R115" s="5">
        <v>10</v>
      </c>
      <c r="S115" s="5">
        <v>1</v>
      </c>
    </row>
    <row r="116" spans="1:34" x14ac:dyDescent="0.2">
      <c r="A116" s="5" t="s">
        <v>139</v>
      </c>
      <c r="D116" s="5">
        <v>115</v>
      </c>
      <c r="E116" s="5" t="s">
        <v>20</v>
      </c>
      <c r="F116" s="9" t="s">
        <v>135</v>
      </c>
      <c r="G116" s="5">
        <v>45.274582499326897</v>
      </c>
      <c r="H116" s="5">
        <v>-5.7217275250475979</v>
      </c>
      <c r="I116" s="5">
        <v>92.961597547922693</v>
      </c>
      <c r="J116" s="5">
        <v>-47.687015048595804</v>
      </c>
      <c r="K116" s="5">
        <v>1.6710536800879801</v>
      </c>
      <c r="L116" s="5">
        <v>166.01459421179001</v>
      </c>
      <c r="M116" s="5">
        <v>-45.247668854044804</v>
      </c>
      <c r="N116" s="5">
        <v>173.547810666381</v>
      </c>
      <c r="O116" s="5">
        <v>120</v>
      </c>
      <c r="P116" s="5">
        <v>1.4199727660389001</v>
      </c>
      <c r="Q116" s="5">
        <v>-71.792558234368499</v>
      </c>
      <c r="R116" s="5">
        <v>7</v>
      </c>
      <c r="S116" s="5">
        <v>0.54966078697422005</v>
      </c>
    </row>
    <row r="117" spans="1:34" x14ac:dyDescent="0.2">
      <c r="A117" s="5" t="s">
        <v>140</v>
      </c>
      <c r="D117" s="3">
        <v>116</v>
      </c>
      <c r="E117" s="5" t="s">
        <v>20</v>
      </c>
      <c r="F117" s="9" t="s">
        <v>135</v>
      </c>
      <c r="G117" s="5">
        <v>47.545708135525203</v>
      </c>
      <c r="H117" s="5">
        <v>-2.9595141290388938</v>
      </c>
      <c r="I117" s="5">
        <v>91.251655161965999</v>
      </c>
      <c r="J117" s="5">
        <v>-43.705947026440803</v>
      </c>
      <c r="K117" s="5">
        <v>1.6855601210459501</v>
      </c>
      <c r="L117" s="5">
        <v>204.75446345538319</v>
      </c>
      <c r="M117" s="5">
        <v>-36.150265147868083</v>
      </c>
      <c r="N117" s="5">
        <v>29.607477948365499</v>
      </c>
      <c r="O117" s="5">
        <v>200</v>
      </c>
      <c r="P117" s="5">
        <v>3.2561765092282</v>
      </c>
      <c r="Q117" s="5">
        <v>-64.963192630202599</v>
      </c>
      <c r="R117" s="5">
        <v>18</v>
      </c>
      <c r="S117" s="5">
        <v>0.26134889753566798</v>
      </c>
    </row>
    <row r="118" spans="1:34" x14ac:dyDescent="0.2">
      <c r="A118" s="5" t="s">
        <v>141</v>
      </c>
      <c r="D118" s="3">
        <v>117</v>
      </c>
      <c r="E118" s="5" t="s">
        <v>20</v>
      </c>
      <c r="F118" s="9" t="s">
        <v>135</v>
      </c>
      <c r="G118" s="5">
        <v>39.785209042641497</v>
      </c>
      <c r="H118" s="5">
        <v>-19.203957910810097</v>
      </c>
      <c r="I118" s="5">
        <v>72.442303928582106</v>
      </c>
      <c r="J118" s="5">
        <v>-32.657094885940602</v>
      </c>
      <c r="K118" s="5">
        <v>2.2909995973015902</v>
      </c>
      <c r="L118" s="5">
        <v>107.97387432848399</v>
      </c>
      <c r="M118" s="5">
        <v>-34.895949892792842</v>
      </c>
      <c r="N118" s="5">
        <v>102.65610102152699</v>
      </c>
      <c r="O118" s="5">
        <v>159</v>
      </c>
      <c r="P118" s="5">
        <v>11.066832884689701</v>
      </c>
      <c r="Q118" s="5">
        <v>-72.038681443621499</v>
      </c>
      <c r="R118" s="5">
        <v>10</v>
      </c>
      <c r="S118" s="5">
        <v>0.53690036900368998</v>
      </c>
    </row>
    <row r="119" spans="1:34" x14ac:dyDescent="0.2">
      <c r="A119" s="5" t="s">
        <v>142</v>
      </c>
      <c r="D119" s="3">
        <v>118</v>
      </c>
      <c r="E119" s="5" t="s">
        <v>20</v>
      </c>
      <c r="F119" s="9" t="s">
        <v>135</v>
      </c>
      <c r="G119" s="5">
        <v>51.820559192899601</v>
      </c>
      <c r="H119" s="5">
        <v>-9.7663964851596035</v>
      </c>
      <c r="I119" s="5">
        <v>90.298031427371299</v>
      </c>
      <c r="J119" s="5">
        <v>-38.477472234471698</v>
      </c>
      <c r="K119" s="5">
        <v>2.12706173348827</v>
      </c>
      <c r="L119" s="5">
        <v>199.43829730812359</v>
      </c>
      <c r="M119" s="5">
        <v>-30.92899646326628</v>
      </c>
      <c r="N119" s="5">
        <v>65.057991874074204</v>
      </c>
      <c r="O119" s="5">
        <v>159</v>
      </c>
      <c r="P119" s="5">
        <v>6.6280269272221704</v>
      </c>
      <c r="Q119" s="5">
        <v>-70.680458425100397</v>
      </c>
      <c r="R119" s="5">
        <v>13</v>
      </c>
      <c r="S119" s="5">
        <v>0.41211493657779003</v>
      </c>
    </row>
    <row r="120" spans="1:34" x14ac:dyDescent="0.2">
      <c r="A120" s="5" t="s">
        <v>143</v>
      </c>
      <c r="D120" s="5">
        <v>119</v>
      </c>
      <c r="E120" s="5" t="s">
        <v>20</v>
      </c>
      <c r="F120" s="9" t="s">
        <v>135</v>
      </c>
      <c r="G120" s="5">
        <v>48.696629583530402</v>
      </c>
      <c r="H120" s="5">
        <v>-6.4780477758720991</v>
      </c>
      <c r="I120" s="5">
        <v>94.145401588614206</v>
      </c>
      <c r="J120" s="5">
        <v>-45.448772005083804</v>
      </c>
      <c r="K120" s="5">
        <v>2.1407568291308698</v>
      </c>
      <c r="L120" s="5">
        <v>166.4373810978492</v>
      </c>
      <c r="M120" s="5">
        <v>-36.007410482870242</v>
      </c>
      <c r="N120" s="5">
        <v>75.642214659032305</v>
      </c>
      <c r="O120" s="5">
        <v>140</v>
      </c>
      <c r="P120" s="5">
        <v>3.8449727754084102</v>
      </c>
      <c r="Q120" s="5">
        <v>-70.004048575792595</v>
      </c>
      <c r="R120" s="5">
        <v>14</v>
      </c>
      <c r="S120" s="5">
        <v>0.203048102873472</v>
      </c>
    </row>
    <row r="121" spans="1:34" x14ac:dyDescent="0.2">
      <c r="A121" s="5" t="s">
        <v>144</v>
      </c>
      <c r="D121" s="3">
        <v>120</v>
      </c>
      <c r="E121" s="5" t="s">
        <v>20</v>
      </c>
      <c r="F121" s="9" t="s">
        <v>135</v>
      </c>
      <c r="G121" s="5">
        <v>49.683133676238597</v>
      </c>
      <c r="H121" s="5">
        <v>-6.9384166902853934</v>
      </c>
      <c r="I121" s="5">
        <v>95.559391057139393</v>
      </c>
      <c r="J121" s="5">
        <v>-45.876257380900803</v>
      </c>
      <c r="K121" s="5">
        <v>1.87742994131269</v>
      </c>
      <c r="L121" s="5">
        <v>198.72582411757401</v>
      </c>
      <c r="M121" s="5">
        <v>-42.066939052862004</v>
      </c>
      <c r="N121" s="5">
        <v>132.88790372575599</v>
      </c>
      <c r="O121" s="5">
        <v>39</v>
      </c>
      <c r="P121" s="5">
        <v>10.6067835869009</v>
      </c>
      <c r="Q121" s="5">
        <v>-61.929064864891998</v>
      </c>
      <c r="R121" s="5">
        <v>16</v>
      </c>
      <c r="S121" s="5">
        <v>0.15711252653927801</v>
      </c>
    </row>
    <row r="122" spans="1:34" x14ac:dyDescent="0.2">
      <c r="A122" s="5" t="s">
        <v>145</v>
      </c>
      <c r="D122" s="3">
        <v>121</v>
      </c>
      <c r="E122" s="5" t="s">
        <v>20</v>
      </c>
      <c r="F122" s="9" t="s">
        <v>135</v>
      </c>
      <c r="G122" s="5">
        <v>47.348407315160003</v>
      </c>
      <c r="H122" s="5">
        <v>-3.4527665790917013</v>
      </c>
      <c r="I122" s="5">
        <v>94.244052905831794</v>
      </c>
      <c r="J122" s="5">
        <v>-46.895645590671798</v>
      </c>
      <c r="K122" s="5">
        <v>2.0371609527836201</v>
      </c>
      <c r="L122" s="5">
        <v>176.66016925713362</v>
      </c>
      <c r="M122" s="5">
        <v>-37.221978032066758</v>
      </c>
      <c r="N122" s="5">
        <v>193.473557181963</v>
      </c>
      <c r="O122" s="5">
        <v>39</v>
      </c>
      <c r="P122" s="5">
        <v>11.511498799599799</v>
      </c>
      <c r="Q122" s="5">
        <v>-65.732503416227303</v>
      </c>
      <c r="R122" s="5">
        <v>19</v>
      </c>
      <c r="S122" s="5">
        <v>0.81749049429658105</v>
      </c>
    </row>
    <row r="123" spans="1:34" x14ac:dyDescent="0.2">
      <c r="A123" s="5" t="s">
        <v>146</v>
      </c>
      <c r="D123" s="3">
        <v>122</v>
      </c>
      <c r="E123" s="5" t="s">
        <v>20</v>
      </c>
      <c r="F123" s="9" t="s">
        <v>135</v>
      </c>
      <c r="G123" s="5">
        <v>44.356011514050799</v>
      </c>
      <c r="H123" s="5">
        <v>-0.98650475435279361</v>
      </c>
      <c r="I123" s="5">
        <v>94.671540192129996</v>
      </c>
      <c r="J123" s="5">
        <v>-50.315528678079303</v>
      </c>
      <c r="K123" s="5">
        <v>1.93885061021484</v>
      </c>
      <c r="L123" s="5">
        <v>173.48385535260402</v>
      </c>
      <c r="M123" s="5">
        <v>-40.517148213901997</v>
      </c>
      <c r="N123" s="5">
        <v>127.463782381066</v>
      </c>
      <c r="O123" s="5">
        <v>39</v>
      </c>
      <c r="P123" s="5">
        <v>4.8206878317620898</v>
      </c>
      <c r="Q123" s="5">
        <v>-68.995448616764094</v>
      </c>
      <c r="R123" s="5">
        <v>17</v>
      </c>
      <c r="S123" s="5">
        <v>0.77139208173690899</v>
      </c>
    </row>
    <row r="124" spans="1:34" x14ac:dyDescent="0.2">
      <c r="A124" s="5" t="s">
        <v>147</v>
      </c>
      <c r="D124" s="5">
        <v>123</v>
      </c>
      <c r="E124" s="5" t="s">
        <v>20</v>
      </c>
      <c r="F124" s="9" t="s">
        <v>135</v>
      </c>
      <c r="G124" s="5">
        <v>52.807063269477098</v>
      </c>
      <c r="H124" s="5">
        <v>-6.2149799418985978</v>
      </c>
      <c r="I124" s="5">
        <v>100.294611695453</v>
      </c>
      <c r="J124" s="5">
        <v>-47.487548425975902</v>
      </c>
      <c r="K124" s="5">
        <v>1.87746506776276</v>
      </c>
      <c r="L124" s="5">
        <v>232.0975692093956</v>
      </c>
      <c r="M124" s="5">
        <v>-39.600334747485483</v>
      </c>
      <c r="N124" s="5">
        <v>58.7116554885284</v>
      </c>
      <c r="O124" s="5">
        <v>79</v>
      </c>
      <c r="P124" s="5">
        <v>2.54709204510793</v>
      </c>
      <c r="Q124" s="5">
        <v>-68.832176348489597</v>
      </c>
      <c r="R124" s="5">
        <v>17</v>
      </c>
      <c r="S124" s="5">
        <v>0.489723827874117</v>
      </c>
    </row>
    <row r="125" spans="1:34" x14ac:dyDescent="0.2">
      <c r="A125" s="5" t="s">
        <v>148</v>
      </c>
      <c r="D125" s="3">
        <v>124</v>
      </c>
      <c r="E125" s="5" t="s">
        <v>20</v>
      </c>
      <c r="F125" s="9" t="s">
        <v>135</v>
      </c>
      <c r="G125" s="5">
        <v>16.466809775802201</v>
      </c>
      <c r="H125" s="5">
        <v>-2.4004949938817006</v>
      </c>
      <c r="I125" s="5">
        <v>71.291393063243603</v>
      </c>
      <c r="J125" s="5">
        <v>-54.824583287441399</v>
      </c>
      <c r="K125" s="5">
        <v>2.1724945152722199</v>
      </c>
      <c r="L125" s="5">
        <v>74.700321260145998</v>
      </c>
      <c r="M125" s="5">
        <v>-19.16957851684128</v>
      </c>
      <c r="N125" s="5">
        <v>87.775082065399104</v>
      </c>
      <c r="O125" s="5">
        <v>90</v>
      </c>
      <c r="P125" s="5">
        <v>17.2476459886866</v>
      </c>
      <c r="Q125" s="5">
        <v>-64.110581548794201</v>
      </c>
      <c r="R125" s="5">
        <v>9</v>
      </c>
      <c r="S125" s="5">
        <v>8.2344236760124598</v>
      </c>
    </row>
    <row r="126" spans="1:34" x14ac:dyDescent="0.2">
      <c r="A126" s="5" t="s">
        <v>149</v>
      </c>
      <c r="D126" s="3">
        <v>125</v>
      </c>
      <c r="E126" s="5" t="s">
        <v>20</v>
      </c>
      <c r="F126" s="9" t="s">
        <v>135</v>
      </c>
      <c r="G126" s="5">
        <v>17.8519322135962</v>
      </c>
      <c r="H126" s="5">
        <v>-10.720018597324795</v>
      </c>
      <c r="I126" s="5">
        <v>66.325985371341801</v>
      </c>
      <c r="J126" s="5">
        <v>-48.474053157745601</v>
      </c>
      <c r="K126" s="5">
        <v>2.0407984783442301</v>
      </c>
      <c r="L126" s="5">
        <v>74.745591031363602</v>
      </c>
      <c r="M126" s="5">
        <v>-31.96274807721208</v>
      </c>
      <c r="N126" s="5">
        <v>36.632887794045601</v>
      </c>
      <c r="O126" s="5">
        <v>39</v>
      </c>
      <c r="P126" s="5">
        <v>11.0266876134743</v>
      </c>
      <c r="Q126" s="5">
        <v>-59.544796041828398</v>
      </c>
      <c r="R126" s="5">
        <v>19</v>
      </c>
      <c r="S126" s="5">
        <v>0.21080858085808599</v>
      </c>
      <c r="X126" s="5">
        <v>-0.79906870193030199</v>
      </c>
      <c r="Y126" s="5">
        <v>-36.632887794045601</v>
      </c>
      <c r="Z126" s="5">
        <v>39</v>
      </c>
      <c r="AA126" s="5">
        <v>11.0266876134743</v>
      </c>
      <c r="AB126" s="5">
        <v>-59.544796041828398</v>
      </c>
      <c r="AC126" s="5">
        <v>19</v>
      </c>
      <c r="AD126" s="5">
        <v>0.21080858085808599</v>
      </c>
      <c r="AH126" s="5">
        <v>-10.720018597324795</v>
      </c>
    </row>
    <row r="127" spans="1:34" x14ac:dyDescent="0.2">
      <c r="A127" s="5" t="s">
        <v>150</v>
      </c>
      <c r="D127" s="3">
        <v>126</v>
      </c>
      <c r="E127" s="5" t="s">
        <v>58</v>
      </c>
      <c r="F127" s="9" t="s">
        <v>135</v>
      </c>
      <c r="G127" s="5">
        <v>16.359639074882999</v>
      </c>
      <c r="H127" s="5">
        <v>-7.3659017517471952</v>
      </c>
      <c r="I127" s="5">
        <v>63.4980027049547</v>
      </c>
      <c r="J127" s="5">
        <v>-47.138363630071602</v>
      </c>
      <c r="K127" s="5">
        <v>1.99411164422387</v>
      </c>
      <c r="L127" s="5">
        <v>62.680978143736795</v>
      </c>
      <c r="M127" s="5">
        <v>-22.621902557342079</v>
      </c>
      <c r="N127" s="5">
        <v>159.10922925782199</v>
      </c>
      <c r="O127" s="5">
        <v>19</v>
      </c>
      <c r="P127" s="5">
        <v>22.953952273342502</v>
      </c>
      <c r="Q127" s="5">
        <v>-69.485774481455607</v>
      </c>
      <c r="R127" s="5">
        <v>14</v>
      </c>
      <c r="S127" s="5">
        <v>1.1046040515653801</v>
      </c>
    </row>
    <row r="128" spans="1:34" x14ac:dyDescent="0.2">
      <c r="A128" s="5" t="s">
        <v>151</v>
      </c>
      <c r="D128" s="5">
        <v>127</v>
      </c>
      <c r="E128" s="5" t="s">
        <v>58</v>
      </c>
      <c r="F128" s="9" t="s">
        <v>135</v>
      </c>
      <c r="G128" s="5">
        <v>12.651182497580001</v>
      </c>
      <c r="H128" s="5">
        <v>-8.0893385585059008</v>
      </c>
      <c r="I128" s="5">
        <v>56.987074641375798</v>
      </c>
      <c r="J128" s="5">
        <v>-44.335892143795697</v>
      </c>
      <c r="K128" s="5">
        <v>2.4471262649055898</v>
      </c>
      <c r="L128" s="5">
        <v>66.185483522352797</v>
      </c>
      <c r="M128" s="5">
        <v>-20.806276903873599</v>
      </c>
      <c r="N128" s="5">
        <v>228.59432592061501</v>
      </c>
      <c r="O128" s="5">
        <v>120</v>
      </c>
      <c r="P128" s="5">
        <v>13.0633495402815</v>
      </c>
      <c r="Q128" s="5">
        <v>-70.888647618048907</v>
      </c>
      <c r="R128" s="5">
        <v>17</v>
      </c>
      <c r="S128" s="5">
        <v>1.47339805825243</v>
      </c>
    </row>
    <row r="129" spans="1:19" x14ac:dyDescent="0.2">
      <c r="A129" s="5" t="s">
        <v>152</v>
      </c>
      <c r="D129" s="3">
        <v>128</v>
      </c>
      <c r="E129" s="5" t="s">
        <v>58</v>
      </c>
      <c r="F129" s="9" t="s">
        <v>135</v>
      </c>
      <c r="G129" s="5">
        <v>34.188750923006197</v>
      </c>
      <c r="H129" s="5">
        <v>-4.3406208083888984</v>
      </c>
      <c r="I129" s="5">
        <v>82.175818196967697</v>
      </c>
      <c r="J129" s="5">
        <v>-47.9870672739615</v>
      </c>
      <c r="K129" s="5">
        <v>1.8141134496459801</v>
      </c>
      <c r="L129" s="5">
        <v>137.803707607642</v>
      </c>
      <c r="M129" s="5">
        <v>-36.963469386023441</v>
      </c>
      <c r="N129" s="5">
        <v>139.754474919221</v>
      </c>
      <c r="O129" s="5">
        <v>60</v>
      </c>
      <c r="P129" s="5">
        <v>5.9475081530374299</v>
      </c>
      <c r="Q129" s="5">
        <v>-64.894028289620096</v>
      </c>
      <c r="R129" s="5">
        <v>16</v>
      </c>
      <c r="S129" s="5">
        <v>0.46089630931458803</v>
      </c>
    </row>
    <row r="130" spans="1:19" x14ac:dyDescent="0.2">
      <c r="A130" s="5" t="s">
        <v>153</v>
      </c>
      <c r="D130" s="3">
        <v>129</v>
      </c>
      <c r="E130" s="5" t="s">
        <v>58</v>
      </c>
      <c r="F130" s="9" t="s">
        <v>135</v>
      </c>
      <c r="G130" s="5">
        <v>15.6069368273679</v>
      </c>
      <c r="H130" s="5">
        <v>-3.7158345385795997</v>
      </c>
      <c r="I130" s="5">
        <v>64.352976487445403</v>
      </c>
      <c r="J130" s="5">
        <v>-48.7460396600774</v>
      </c>
      <c r="K130" s="5">
        <v>2.3692602650947601</v>
      </c>
      <c r="L130" s="5">
        <v>70.141901719900005</v>
      </c>
      <c r="M130" s="5">
        <v>-18.49304545775508</v>
      </c>
      <c r="N130" s="5">
        <v>34.818487206977103</v>
      </c>
      <c r="O130" s="5">
        <v>39</v>
      </c>
      <c r="P130" s="5">
        <v>14.761389385927</v>
      </c>
      <c r="Q130" s="5">
        <v>-66.732770218801804</v>
      </c>
      <c r="R130" s="5">
        <v>7</v>
      </c>
      <c r="S130" s="5">
        <v>0.31070070613796902</v>
      </c>
    </row>
    <row r="131" spans="1:19" x14ac:dyDescent="0.2">
      <c r="A131" s="5" t="s">
        <v>154</v>
      </c>
      <c r="D131" s="3">
        <v>130</v>
      </c>
      <c r="E131" s="5" t="s">
        <v>58</v>
      </c>
      <c r="F131" s="9" t="s">
        <v>135</v>
      </c>
      <c r="G131" s="5">
        <v>9.3679952687380599</v>
      </c>
      <c r="H131" s="5">
        <v>-19.532793682368499</v>
      </c>
      <c r="I131" s="5">
        <v>47.483749129291198</v>
      </c>
      <c r="J131" s="5">
        <v>-38.115753860553099</v>
      </c>
      <c r="K131" s="5">
        <v>1.17948213478963</v>
      </c>
      <c r="L131" s="5">
        <v>89.959813782522801</v>
      </c>
      <c r="M131" s="5">
        <v>-41.386212778601205</v>
      </c>
      <c r="N131" s="5">
        <v>126.162862431017</v>
      </c>
      <c r="O131" s="5">
        <v>120</v>
      </c>
      <c r="P131" s="5">
        <v>13.1095227350489</v>
      </c>
      <c r="Q131" s="5">
        <v>-64.336173389308499</v>
      </c>
      <c r="R131" s="5">
        <v>50</v>
      </c>
      <c r="S131" s="5">
        <v>0.57175141242938199</v>
      </c>
    </row>
    <row r="132" spans="1:19" x14ac:dyDescent="0.2">
      <c r="A132" s="5" t="s">
        <v>155</v>
      </c>
      <c r="D132" s="5">
        <v>131</v>
      </c>
      <c r="E132" s="5" t="s">
        <v>58</v>
      </c>
      <c r="F132" s="9" t="s">
        <v>135</v>
      </c>
      <c r="G132" s="5">
        <v>42.5803040927076</v>
      </c>
      <c r="H132" s="5">
        <v>-0.26306792882009944</v>
      </c>
      <c r="I132" s="5">
        <v>90.593988374651801</v>
      </c>
      <c r="J132" s="5">
        <v>-48.013684281944201</v>
      </c>
      <c r="K132" s="5">
        <v>1.7984031633137301</v>
      </c>
      <c r="L132" s="5">
        <v>212.42727988282559</v>
      </c>
      <c r="M132" s="5">
        <v>-33.561386410942397</v>
      </c>
      <c r="N132" s="5">
        <v>182.31037692957</v>
      </c>
      <c r="O132" s="5">
        <v>19</v>
      </c>
      <c r="P132" s="5">
        <v>3.98592361015855</v>
      </c>
      <c r="Q132" s="5">
        <v>-64.775562837800393</v>
      </c>
      <c r="R132" s="5">
        <v>29</v>
      </c>
      <c r="S132" s="5">
        <v>0.224759615384614</v>
      </c>
    </row>
    <row r="133" spans="1:19" x14ac:dyDescent="0.2">
      <c r="A133" s="5" t="s">
        <v>156</v>
      </c>
      <c r="D133" s="3">
        <v>132</v>
      </c>
      <c r="E133" s="5" t="s">
        <v>58</v>
      </c>
      <c r="F133" s="9" t="s">
        <v>135</v>
      </c>
      <c r="G133" s="5">
        <v>31.4950436730281</v>
      </c>
      <c r="H133" s="5">
        <v>-5.8532613901412986</v>
      </c>
      <c r="I133" s="5">
        <v>77.539248146476993</v>
      </c>
      <c r="J133" s="5">
        <v>-46.0442044734489</v>
      </c>
      <c r="K133" s="5">
        <v>1.9158402259981999</v>
      </c>
      <c r="L133" s="5">
        <v>137.78178594175279</v>
      </c>
      <c r="M133" s="5">
        <v>-37.960691481487643</v>
      </c>
      <c r="N133" s="5">
        <v>78.949849597942205</v>
      </c>
      <c r="O133" s="5">
        <v>39</v>
      </c>
      <c r="P133" s="5">
        <v>5.6828902805528498</v>
      </c>
      <c r="Q133" s="5">
        <v>-67.403205237247704</v>
      </c>
      <c r="R133" s="5">
        <v>19</v>
      </c>
      <c r="S133" s="5">
        <v>0.23702359346642499</v>
      </c>
    </row>
    <row r="134" spans="1:19" x14ac:dyDescent="0.2">
      <c r="A134" s="5" t="s">
        <v>157</v>
      </c>
      <c r="D134" s="3">
        <v>133</v>
      </c>
      <c r="E134" s="5" t="s">
        <v>58</v>
      </c>
      <c r="F134" s="9" t="s">
        <v>135</v>
      </c>
      <c r="G134" s="5">
        <v>36.560564097851199</v>
      </c>
      <c r="H134" s="5">
        <v>-5.3764507440557487</v>
      </c>
      <c r="I134" s="5">
        <v>83.425389255593302</v>
      </c>
      <c r="J134" s="5">
        <v>-46.864825157742146</v>
      </c>
      <c r="K134" s="5">
        <v>1.9764997443405701</v>
      </c>
      <c r="L134" s="5">
        <v>135.72930504810381</v>
      </c>
      <c r="M134" s="5">
        <v>-35.151444649140338</v>
      </c>
      <c r="N134" s="5">
        <v>96.026050875233196</v>
      </c>
      <c r="O134" s="5">
        <v>119</v>
      </c>
      <c r="P134" s="5">
        <v>19.7457213801252</v>
      </c>
      <c r="Q134" s="5">
        <v>-64.439109173468893</v>
      </c>
      <c r="R134" s="5">
        <v>15</v>
      </c>
      <c r="S134" s="5">
        <v>0.32595331432644398</v>
      </c>
    </row>
    <row r="135" spans="1:19" x14ac:dyDescent="0.2">
      <c r="A135" s="5" t="s">
        <v>158</v>
      </c>
      <c r="D135" s="3">
        <v>134</v>
      </c>
      <c r="E135" s="5" t="s">
        <v>58</v>
      </c>
      <c r="F135" s="9" t="s">
        <v>135</v>
      </c>
      <c r="G135" s="5">
        <v>39.942657268591802</v>
      </c>
      <c r="H135" s="5">
        <v>-3.7816014164349951</v>
      </c>
      <c r="I135" s="5">
        <v>84.740728297951804</v>
      </c>
      <c r="J135" s="5">
        <v>-44.798071029360102</v>
      </c>
      <c r="K135" s="5">
        <v>1.7525453827176101</v>
      </c>
      <c r="L135" s="5">
        <v>166.64336115096799</v>
      </c>
      <c r="M135" s="5">
        <v>-37.032778873197515</v>
      </c>
      <c r="N135" s="5">
        <v>184.640852845924</v>
      </c>
      <c r="O135" s="5">
        <v>19</v>
      </c>
      <c r="P135" s="5">
        <v>6.5652613169610898</v>
      </c>
      <c r="Q135" s="5">
        <v>-65.023486013722106</v>
      </c>
      <c r="R135" s="5">
        <v>19</v>
      </c>
      <c r="S135" s="5">
        <v>6.4425319713665094E-2</v>
      </c>
    </row>
    <row r="136" spans="1:19" x14ac:dyDescent="0.2">
      <c r="A136" s="5" t="s">
        <v>159</v>
      </c>
      <c r="D136" s="5">
        <v>135</v>
      </c>
      <c r="E136" s="5" t="s">
        <v>58</v>
      </c>
      <c r="F136" s="9" t="s">
        <v>135</v>
      </c>
      <c r="G136" s="5">
        <v>13.1824786023708</v>
      </c>
      <c r="H136" s="5">
        <v>-0.95362122950010075</v>
      </c>
      <c r="I136" s="5">
        <v>59.2231534358978</v>
      </c>
      <c r="J136" s="5">
        <v>-46.040674833527</v>
      </c>
      <c r="K136" s="5">
        <v>1.997859357132</v>
      </c>
      <c r="L136" s="5">
        <v>85.935507361144388</v>
      </c>
      <c r="M136" s="5">
        <v>-20.711830145422077</v>
      </c>
      <c r="N136" s="5">
        <v>325.08049793042102</v>
      </c>
      <c r="O136" s="5">
        <v>214</v>
      </c>
      <c r="P136" s="5">
        <v>4.46186780015225</v>
      </c>
      <c r="Q136" s="5">
        <v>-69.338358085524703</v>
      </c>
      <c r="R136" s="5">
        <v>17</v>
      </c>
      <c r="S136" s="5">
        <v>1.0931151241535</v>
      </c>
    </row>
    <row r="137" spans="1:19" x14ac:dyDescent="0.2">
      <c r="A137" s="5" t="s">
        <v>160</v>
      </c>
      <c r="D137" s="3">
        <v>136</v>
      </c>
      <c r="E137" s="5" t="s">
        <v>58</v>
      </c>
      <c r="F137" s="9" t="s">
        <v>135</v>
      </c>
      <c r="G137" s="5">
        <v>53.156798851213601</v>
      </c>
      <c r="H137" s="5">
        <v>-5.4586594324077993</v>
      </c>
      <c r="I137" s="5">
        <v>97.302213323458304</v>
      </c>
      <c r="J137" s="5">
        <v>-44.145414472244703</v>
      </c>
      <c r="K137" s="5">
        <v>1.7270240221806299</v>
      </c>
      <c r="L137" s="5">
        <v>197.85735677881161</v>
      </c>
      <c r="M137" s="5">
        <v>-43.370319618441201</v>
      </c>
      <c r="N137" s="5">
        <v>131.12714012645199</v>
      </c>
      <c r="O137" s="5">
        <v>39</v>
      </c>
      <c r="P137" s="5">
        <v>11.9664063089976</v>
      </c>
      <c r="Q137" s="5">
        <v>-56.803039015272802</v>
      </c>
      <c r="R137" s="5">
        <v>15</v>
      </c>
      <c r="S137" s="5">
        <v>0.18515480828378</v>
      </c>
    </row>
    <row r="138" spans="1:19" x14ac:dyDescent="0.2">
      <c r="A138" s="5" t="s">
        <v>161</v>
      </c>
      <c r="D138" s="3">
        <v>137</v>
      </c>
      <c r="E138" s="5" t="s">
        <v>58</v>
      </c>
      <c r="F138" s="9" t="s">
        <v>135</v>
      </c>
      <c r="G138" s="5">
        <v>52.412461639452097</v>
      </c>
      <c r="H138" s="5">
        <v>-4.4721546968493016</v>
      </c>
      <c r="I138" s="5">
        <v>95.723806787286605</v>
      </c>
      <c r="J138" s="5">
        <v>-43.311345147834601</v>
      </c>
      <c r="K138" s="5">
        <v>0.57321806761287397</v>
      </c>
      <c r="L138" s="5">
        <v>192.89954354657439</v>
      </c>
      <c r="M138" s="5">
        <v>-42.389794101610001</v>
      </c>
      <c r="N138" s="5">
        <v>97.685717198281694</v>
      </c>
      <c r="O138" s="5">
        <v>100</v>
      </c>
      <c r="P138" s="5">
        <v>4.5059710695100303</v>
      </c>
      <c r="Q138" s="5">
        <v>-64.604260854440199</v>
      </c>
      <c r="R138" s="5">
        <v>18</v>
      </c>
      <c r="S138" s="5">
        <v>0.16820175438596499</v>
      </c>
    </row>
    <row r="139" spans="1:19" x14ac:dyDescent="0.2">
      <c r="A139" s="5" t="s">
        <v>162</v>
      </c>
      <c r="D139" s="3">
        <v>138</v>
      </c>
      <c r="E139" s="5" t="s">
        <v>58</v>
      </c>
      <c r="F139" s="9" t="s">
        <v>135</v>
      </c>
      <c r="G139" s="5">
        <v>53.103014491467</v>
      </c>
      <c r="H139" s="5">
        <v>-6.9712998303606994</v>
      </c>
      <c r="I139" s="5">
        <v>92.665641853809802</v>
      </c>
      <c r="J139" s="5">
        <v>-39.562627362342802</v>
      </c>
      <c r="K139" s="5">
        <v>1.5877356608687301</v>
      </c>
      <c r="L139" s="5">
        <v>167.79342698855839</v>
      </c>
      <c r="M139" s="5">
        <v>-33.521805276118918</v>
      </c>
      <c r="N139" s="5">
        <v>84.292057318474605</v>
      </c>
      <c r="O139" s="5">
        <v>159</v>
      </c>
      <c r="P139" s="5">
        <v>6.3925400118678297</v>
      </c>
      <c r="Q139" s="5">
        <v>-65.334632298779695</v>
      </c>
      <c r="R139" s="5">
        <v>10</v>
      </c>
      <c r="S139" s="5">
        <v>0.205175983436853</v>
      </c>
    </row>
    <row r="140" spans="1:19" x14ac:dyDescent="0.2">
      <c r="A140" s="5" t="s">
        <v>163</v>
      </c>
      <c r="D140" s="5">
        <v>139</v>
      </c>
      <c r="E140" s="5" t="s">
        <v>58</v>
      </c>
      <c r="F140" s="9" t="s">
        <v>135</v>
      </c>
      <c r="G140" s="5">
        <v>51.787675723593203</v>
      </c>
      <c r="H140" s="5">
        <v>-6.9712998485126008</v>
      </c>
      <c r="I140" s="5">
        <v>91.679137974984599</v>
      </c>
      <c r="J140" s="5">
        <v>-39.891462251391403</v>
      </c>
      <c r="K140" s="5">
        <v>0.54664210265867996</v>
      </c>
      <c r="L140" s="5">
        <v>201.52091516514278</v>
      </c>
      <c r="M140" s="5">
        <v>-40.919005557691605</v>
      </c>
      <c r="N140" s="5">
        <v>121.588321750689</v>
      </c>
      <c r="O140" s="5">
        <v>60</v>
      </c>
      <c r="P140" s="5">
        <v>7.3052140772999801</v>
      </c>
      <c r="Q140" s="5">
        <v>-60.972344816159001</v>
      </c>
      <c r="R140" s="5">
        <v>15</v>
      </c>
      <c r="S140" s="5">
        <v>0.20310006838386199</v>
      </c>
    </row>
    <row r="141" spans="1:19" x14ac:dyDescent="0.2">
      <c r="A141" s="5" t="s">
        <v>164</v>
      </c>
      <c r="D141" s="3">
        <v>140</v>
      </c>
      <c r="E141" s="5" t="s">
        <v>58</v>
      </c>
      <c r="F141" s="9" t="s">
        <v>135</v>
      </c>
      <c r="G141" s="5">
        <v>41.9884016151032</v>
      </c>
      <c r="H141" s="5">
        <v>-2.1703103007714972</v>
      </c>
      <c r="I141" s="5">
        <v>82.570417136251606</v>
      </c>
      <c r="J141" s="5">
        <v>-40.582015521148399</v>
      </c>
      <c r="K141" s="5">
        <v>2.2493493673241498</v>
      </c>
      <c r="L141" s="5">
        <v>124.669490662594</v>
      </c>
      <c r="M141" s="5">
        <v>-33.652618952621843</v>
      </c>
      <c r="N141" s="5">
        <v>83.552047855895097</v>
      </c>
      <c r="O141" s="5">
        <v>100</v>
      </c>
      <c r="P141" s="5">
        <v>6.4670114544955197</v>
      </c>
      <c r="Q141" s="5">
        <v>-62.971407111778298</v>
      </c>
      <c r="R141" s="5">
        <v>9</v>
      </c>
      <c r="S141" s="5">
        <v>8.4576372315035703E-2</v>
      </c>
    </row>
    <row r="142" spans="1:19" x14ac:dyDescent="0.2">
      <c r="A142" s="5" t="s">
        <v>165</v>
      </c>
      <c r="D142" s="3">
        <v>141</v>
      </c>
      <c r="E142" s="5" t="s">
        <v>58</v>
      </c>
      <c r="F142" s="9" t="s">
        <v>135</v>
      </c>
      <c r="G142" s="5">
        <v>53.497616120082903</v>
      </c>
      <c r="H142" s="5">
        <v>-6.6095816830740972</v>
      </c>
      <c r="I142" s="5">
        <v>97.795465966749703</v>
      </c>
      <c r="J142" s="5">
        <v>-44.297849846666701</v>
      </c>
      <c r="K142" s="5">
        <v>0.44310095871914801</v>
      </c>
      <c r="L142" s="5">
        <v>236.64146677002162</v>
      </c>
      <c r="M142" s="5">
        <v>-46.462421910370004</v>
      </c>
      <c r="N142" s="5">
        <v>110.178792929992</v>
      </c>
      <c r="O142" s="5">
        <v>60</v>
      </c>
      <c r="P142" s="5">
        <v>6.1673856644191796</v>
      </c>
      <c r="Q142" s="5">
        <v>-60.764175396109898</v>
      </c>
      <c r="R142" s="5">
        <v>17</v>
      </c>
      <c r="S142" s="5">
        <v>0.26858759969127899</v>
      </c>
    </row>
    <row r="143" spans="1:19" x14ac:dyDescent="0.2">
      <c r="A143" s="5" t="s">
        <v>166</v>
      </c>
      <c r="D143" s="3">
        <v>142</v>
      </c>
      <c r="E143" s="5" t="s">
        <v>58</v>
      </c>
      <c r="F143" s="9" t="s">
        <v>135</v>
      </c>
      <c r="G143" s="5">
        <v>51.491724499583</v>
      </c>
      <c r="H143" s="5">
        <v>-4.1104363655919904</v>
      </c>
      <c r="I143" s="5">
        <v>96.907613014279804</v>
      </c>
      <c r="J143" s="5">
        <v>-45.415888514696803</v>
      </c>
      <c r="K143" s="5">
        <v>1.67602678279776</v>
      </c>
      <c r="L143" s="5">
        <v>207.5495548751008</v>
      </c>
      <c r="M143" s="5">
        <v>-46.036871410187999</v>
      </c>
      <c r="N143" s="5">
        <v>158.26277402364499</v>
      </c>
      <c r="O143" s="5">
        <v>60</v>
      </c>
      <c r="P143" s="5">
        <v>8.5614483422363605</v>
      </c>
      <c r="Q143" s="5">
        <v>-59.836967324265999</v>
      </c>
      <c r="R143" s="5">
        <v>18</v>
      </c>
      <c r="S143" s="5">
        <v>0.24188679245282901</v>
      </c>
    </row>
    <row r="144" spans="1:19" x14ac:dyDescent="0.2">
      <c r="A144" s="5" t="s">
        <v>167</v>
      </c>
      <c r="D144" s="5">
        <v>143</v>
      </c>
      <c r="E144" s="5" t="s">
        <v>58</v>
      </c>
      <c r="F144" s="9" t="s">
        <v>135</v>
      </c>
      <c r="G144" s="5">
        <v>36.654949115686598</v>
      </c>
      <c r="H144" s="5">
        <v>-14.764684275512501</v>
      </c>
      <c r="I144" s="5">
        <v>50.278835954856099</v>
      </c>
      <c r="J144" s="5">
        <v>-13.623886839169501</v>
      </c>
      <c r="K144" s="5">
        <v>2.8524930450164701</v>
      </c>
      <c r="L144" s="5">
        <v>49.957592461285202</v>
      </c>
      <c r="M144" s="5">
        <v>-13.348524438866921</v>
      </c>
      <c r="N144" s="5">
        <v>261.05838368987997</v>
      </c>
      <c r="O144" s="5">
        <v>159</v>
      </c>
      <c r="P144" s="5">
        <v>8.3719789889978298</v>
      </c>
      <c r="Q144" s="5">
        <v>-55.985044708532001</v>
      </c>
      <c r="R144" s="5">
        <v>1</v>
      </c>
      <c r="S144" s="12" t="s">
        <v>53</v>
      </c>
    </row>
    <row r="145" spans="1:19" x14ac:dyDescent="0.2">
      <c r="A145" s="5" t="s">
        <v>168</v>
      </c>
      <c r="D145" s="3">
        <v>144</v>
      </c>
      <c r="E145" s="5" t="s">
        <v>58</v>
      </c>
      <c r="F145" s="9" t="s">
        <v>135</v>
      </c>
      <c r="G145" s="5">
        <v>38.430281799435051</v>
      </c>
      <c r="H145" s="5">
        <v>-15.784072553791079</v>
      </c>
      <c r="I145" s="5">
        <v>54.816756102480497</v>
      </c>
      <c r="J145" s="5">
        <v>-16.386474303045421</v>
      </c>
      <c r="K145" s="5">
        <v>1.7109139633892916</v>
      </c>
      <c r="L145" s="5">
        <v>60.595638264532738</v>
      </c>
      <c r="M145" s="5">
        <v>-16.24045051208504</v>
      </c>
      <c r="N145" s="5">
        <v>290.07360020088402</v>
      </c>
      <c r="O145" s="5">
        <v>100</v>
      </c>
      <c r="P145" s="5">
        <v>16.532611704102798</v>
      </c>
      <c r="Q145" s="5">
        <v>-59.024194236499</v>
      </c>
      <c r="R145" s="5">
        <v>2</v>
      </c>
      <c r="S145" s="12" t="s">
        <v>53</v>
      </c>
    </row>
    <row r="146" spans="1:19" x14ac:dyDescent="0.2">
      <c r="A146" s="5" t="s">
        <v>169</v>
      </c>
      <c r="D146" s="3">
        <v>145</v>
      </c>
      <c r="E146" s="5" t="s">
        <v>58</v>
      </c>
      <c r="F146" s="9" t="s">
        <v>135</v>
      </c>
      <c r="G146" s="5">
        <v>37.713550330544102</v>
      </c>
      <c r="H146" s="5">
        <v>-8.6812403797353994</v>
      </c>
      <c r="I146" s="5">
        <v>62.708792941140501</v>
      </c>
      <c r="J146" s="5">
        <v>-24.995242610596399</v>
      </c>
      <c r="K146" s="5">
        <v>2.14412979633593</v>
      </c>
      <c r="L146" s="5">
        <v>74.3166625307868</v>
      </c>
      <c r="M146" s="5">
        <v>-26.670850783284639</v>
      </c>
      <c r="N146" s="5">
        <v>247.66418859794101</v>
      </c>
      <c r="O146" s="5">
        <v>159</v>
      </c>
      <c r="P146" s="5">
        <v>12.614179224688399</v>
      </c>
      <c r="Q146" s="5">
        <v>-55.812991236158503</v>
      </c>
      <c r="R146" s="5">
        <v>2</v>
      </c>
      <c r="S146" s="12" t="s">
        <v>53</v>
      </c>
    </row>
    <row r="147" spans="1:19" x14ac:dyDescent="0.2">
      <c r="A147" s="5" t="s">
        <v>170</v>
      </c>
      <c r="D147" s="3">
        <v>146</v>
      </c>
      <c r="E147" s="5" t="s">
        <v>58</v>
      </c>
      <c r="F147" s="9" t="s">
        <v>135</v>
      </c>
      <c r="G147" s="5">
        <v>22.6200361143365</v>
      </c>
      <c r="H147" s="5">
        <v>-8.2866382477031024</v>
      </c>
      <c r="I147" s="5">
        <v>43.0115908721843</v>
      </c>
      <c r="J147" s="5">
        <v>-20.391554757847899</v>
      </c>
      <c r="K147" s="5">
        <v>2.5109612483038002</v>
      </c>
      <c r="L147" s="5">
        <v>42.958978555922002</v>
      </c>
      <c r="M147" s="5">
        <v>-18.7788161996464</v>
      </c>
      <c r="N147" s="5">
        <v>21.621277903776502</v>
      </c>
      <c r="O147" s="5">
        <v>340</v>
      </c>
      <c r="P147" s="5">
        <v>20.8451105686026</v>
      </c>
      <c r="Q147" s="5">
        <v>-61.515643292598199</v>
      </c>
      <c r="R147" s="5">
        <v>1</v>
      </c>
      <c r="S147" s="12" t="s">
        <v>53</v>
      </c>
    </row>
    <row r="148" spans="1:19" x14ac:dyDescent="0.2">
      <c r="A148" s="5" t="s">
        <v>171</v>
      </c>
      <c r="D148" s="5">
        <v>147</v>
      </c>
      <c r="E148" s="5" t="s">
        <v>58</v>
      </c>
      <c r="F148" s="9" t="s">
        <v>135</v>
      </c>
      <c r="G148" s="5">
        <v>12.4919255919247</v>
      </c>
      <c r="H148" s="5">
        <v>-2.7622132307136056</v>
      </c>
      <c r="I148" s="5">
        <v>58.269532501353602</v>
      </c>
      <c r="J148" s="5">
        <v>-45.777606909428798</v>
      </c>
      <c r="K148" s="5">
        <v>0.86687850015004797</v>
      </c>
      <c r="L148" s="5">
        <v>67.052413299679998</v>
      </c>
      <c r="M148" s="5">
        <v>-12.749138102701121</v>
      </c>
      <c r="N148" s="5">
        <v>295.94433427055299</v>
      </c>
      <c r="O148" s="5">
        <v>0</v>
      </c>
      <c r="P148" s="5">
        <v>1.6544477182066599</v>
      </c>
      <c r="Q148" s="5">
        <v>-68.219444390388503</v>
      </c>
      <c r="R148" s="5">
        <v>8</v>
      </c>
      <c r="S148" s="5">
        <v>1</v>
      </c>
    </row>
    <row r="149" spans="1:19" x14ac:dyDescent="0.2">
      <c r="A149" s="5" t="s">
        <v>172</v>
      </c>
      <c r="D149" s="3">
        <v>148</v>
      </c>
      <c r="E149" s="5" t="s">
        <v>58</v>
      </c>
      <c r="F149" s="9" t="s">
        <v>135</v>
      </c>
      <c r="G149" s="5">
        <v>44.816380101974801</v>
      </c>
      <c r="H149" s="5">
        <v>-6.1163292919519989</v>
      </c>
      <c r="I149" s="5">
        <v>88.818278538180806</v>
      </c>
      <c r="J149" s="5">
        <v>-44.001898436205998</v>
      </c>
      <c r="K149" s="5">
        <v>1.90673405558672</v>
      </c>
      <c r="L149" s="5">
        <v>151.70245221776639</v>
      </c>
      <c r="M149" s="5">
        <v>-36.896379511246082</v>
      </c>
      <c r="N149" s="5">
        <v>189.06141264861699</v>
      </c>
      <c r="O149" s="5">
        <v>60</v>
      </c>
      <c r="P149" s="5">
        <v>1.5025465059208001</v>
      </c>
      <c r="Q149" s="5">
        <v>-65.767687858594101</v>
      </c>
      <c r="R149" s="5">
        <v>13</v>
      </c>
      <c r="S149" s="5">
        <v>8.0698835274542205E-2</v>
      </c>
    </row>
    <row r="150" spans="1:19" x14ac:dyDescent="0.2">
      <c r="A150" s="5" t="s">
        <v>173</v>
      </c>
      <c r="D150" s="3">
        <v>149</v>
      </c>
      <c r="E150" s="5" t="s">
        <v>58</v>
      </c>
      <c r="F150" s="9" t="s">
        <v>135</v>
      </c>
      <c r="G150" s="5">
        <v>40.607295826543698</v>
      </c>
      <c r="H150" s="5">
        <v>-5.0640999999999998</v>
      </c>
      <c r="I150" s="5">
        <v>87.174106509928293</v>
      </c>
      <c r="J150" s="5">
        <v>-46.566810683384503</v>
      </c>
      <c r="K150" s="5">
        <v>2.0644833302958698</v>
      </c>
      <c r="L150" s="5">
        <v>135.60325124273442</v>
      </c>
      <c r="M150" s="5">
        <v>-36.47798555111148</v>
      </c>
      <c r="N150" s="5">
        <v>284.48537000097201</v>
      </c>
      <c r="O150" s="5">
        <v>39</v>
      </c>
      <c r="P150" s="5">
        <v>7.5016918436599402</v>
      </c>
      <c r="Q150" s="5">
        <v>-63.4747203443034</v>
      </c>
      <c r="R150" s="5">
        <v>14</v>
      </c>
      <c r="S150" s="5">
        <v>9.6002676032781203E-2</v>
      </c>
    </row>
    <row r="151" spans="1:19" x14ac:dyDescent="0.2">
      <c r="A151" s="5" t="s">
        <v>174</v>
      </c>
      <c r="D151" s="3">
        <v>150</v>
      </c>
      <c r="E151" s="5" t="s">
        <v>58</v>
      </c>
      <c r="F151" s="9" t="s">
        <v>135</v>
      </c>
      <c r="G151" s="5">
        <v>14.234749850603301</v>
      </c>
      <c r="H151" s="5">
        <v>-5.886145032179499</v>
      </c>
      <c r="I151" s="5">
        <v>62.051133186298301</v>
      </c>
      <c r="J151" s="5">
        <v>-47.816383335695001</v>
      </c>
      <c r="K151" s="5">
        <v>2.6640586536035999</v>
      </c>
      <c r="L151" s="5">
        <v>67.253873166529203</v>
      </c>
      <c r="M151" s="5">
        <v>-20.18334944672748</v>
      </c>
      <c r="N151" s="5">
        <v>258.68943227407999</v>
      </c>
      <c r="O151" s="5">
        <v>0</v>
      </c>
      <c r="P151" s="5">
        <v>4.1444695617532901</v>
      </c>
      <c r="Q151" s="5">
        <v>-60.378274809645902</v>
      </c>
      <c r="R151" s="5">
        <v>18</v>
      </c>
      <c r="S151" s="5">
        <v>0.28186412128018201</v>
      </c>
    </row>
    <row r="152" spans="1:19" x14ac:dyDescent="0.2">
      <c r="A152" s="5" t="s">
        <v>175</v>
      </c>
      <c r="D152" s="5">
        <v>151</v>
      </c>
      <c r="E152" s="5" t="s">
        <v>58</v>
      </c>
      <c r="F152" s="9" t="s">
        <v>135</v>
      </c>
      <c r="G152" s="5">
        <v>51.0313559279926</v>
      </c>
      <c r="H152" s="5">
        <v>-7.5632030546020061</v>
      </c>
      <c r="I152" s="5">
        <v>97.039147270977097</v>
      </c>
      <c r="J152" s="5">
        <v>-46.007791342984497</v>
      </c>
      <c r="K152" s="5">
        <v>1.92875947214871</v>
      </c>
      <c r="L152" s="5">
        <v>173.81267308686759</v>
      </c>
      <c r="M152" s="5">
        <v>-39.515910327606079</v>
      </c>
      <c r="N152" s="5">
        <v>216.20412710179099</v>
      </c>
      <c r="O152" s="5">
        <v>39</v>
      </c>
      <c r="P152" s="5">
        <v>1.9748515344103801</v>
      </c>
      <c r="Q152" s="5">
        <v>-62.276001491089701</v>
      </c>
      <c r="R152" s="5">
        <v>9</v>
      </c>
      <c r="S152" s="5">
        <v>0.36935730680948697</v>
      </c>
    </row>
    <row r="153" spans="1:19" x14ac:dyDescent="0.2">
      <c r="A153" s="5" t="s">
        <v>176</v>
      </c>
      <c r="D153" s="3">
        <v>152</v>
      </c>
      <c r="E153" s="5" t="s">
        <v>58</v>
      </c>
      <c r="F153" s="9" t="s">
        <v>135</v>
      </c>
      <c r="G153" s="5">
        <v>29.525565659074498</v>
      </c>
      <c r="H153" s="5">
        <v>-3.584300492794199</v>
      </c>
      <c r="I153" s="5">
        <v>74.579735780083496</v>
      </c>
      <c r="J153" s="5">
        <v>-45.054170121009001</v>
      </c>
      <c r="K153" s="5">
        <v>2.5229899961661002</v>
      </c>
      <c r="L153" s="5">
        <v>89.568339577935205</v>
      </c>
      <c r="M153" s="5">
        <v>-28.788957927739883</v>
      </c>
      <c r="N153" s="5">
        <v>190.55688426482001</v>
      </c>
      <c r="O153" s="5">
        <v>159</v>
      </c>
      <c r="P153" s="5">
        <v>1.9667071294591201</v>
      </c>
      <c r="Q153" s="5">
        <v>-60.817914076339399</v>
      </c>
      <c r="R153" s="5">
        <v>12</v>
      </c>
      <c r="S153" s="12" t="s">
        <v>53</v>
      </c>
    </row>
    <row r="154" spans="1:19" x14ac:dyDescent="0.2">
      <c r="A154" s="5" t="s">
        <v>177</v>
      </c>
      <c r="D154" s="3">
        <v>153</v>
      </c>
      <c r="E154" s="5" t="s">
        <v>58</v>
      </c>
      <c r="F154" s="9" t="s">
        <v>135</v>
      </c>
      <c r="G154" s="5">
        <v>22.795412623993801</v>
      </c>
      <c r="H154" s="5">
        <v>-6.6095818024280035</v>
      </c>
      <c r="I154" s="5">
        <v>72.475194218676904</v>
      </c>
      <c r="J154" s="5">
        <v>-49.679781594683199</v>
      </c>
      <c r="K154" s="5">
        <v>2.43553580183249</v>
      </c>
      <c r="L154" s="5">
        <v>82.584515470675598</v>
      </c>
      <c r="M154" s="5">
        <v>-31.579887007431559</v>
      </c>
      <c r="N154" s="5">
        <v>293.87638431268999</v>
      </c>
      <c r="O154" s="5">
        <v>79</v>
      </c>
      <c r="P154" s="5">
        <v>16.127949655904398</v>
      </c>
      <c r="Q154" s="5">
        <v>-66.742486406766105</v>
      </c>
      <c r="R154" s="5">
        <v>14</v>
      </c>
      <c r="S154" s="5">
        <v>0.42831587017633599</v>
      </c>
    </row>
    <row r="155" spans="1:19" x14ac:dyDescent="0.2">
      <c r="A155" s="5" t="s">
        <v>178</v>
      </c>
      <c r="D155" s="3">
        <v>154</v>
      </c>
      <c r="E155" s="5" t="s">
        <v>58</v>
      </c>
      <c r="F155" s="9" t="s">
        <v>135</v>
      </c>
      <c r="G155" s="5">
        <v>11.5054212860513</v>
      </c>
      <c r="H155" s="5">
        <v>-0.82208723886579804</v>
      </c>
      <c r="I155" s="5">
        <v>53.337009400082998</v>
      </c>
      <c r="J155" s="5">
        <v>-41.831588114031703</v>
      </c>
      <c r="K155" s="5">
        <v>2.1868445642703902</v>
      </c>
      <c r="L155" s="5">
        <v>80.66125267102359</v>
      </c>
      <c r="M155" s="5">
        <v>-14.881688676439399</v>
      </c>
      <c r="N155" s="5">
        <v>83.721584877674502</v>
      </c>
      <c r="O155" s="5">
        <v>60</v>
      </c>
      <c r="P155" s="5">
        <v>6.4695071361558201</v>
      </c>
      <c r="Q155" s="5">
        <v>-58.372078479729097</v>
      </c>
      <c r="R155" s="5">
        <v>16</v>
      </c>
      <c r="S155" s="5">
        <v>0.131713992473486</v>
      </c>
    </row>
    <row r="156" spans="1:19" x14ac:dyDescent="0.2">
      <c r="A156" s="5" t="s">
        <v>179</v>
      </c>
      <c r="D156" s="5">
        <v>155</v>
      </c>
      <c r="E156" s="5" t="s">
        <v>58</v>
      </c>
      <c r="F156" s="9" t="s">
        <v>135</v>
      </c>
      <c r="G156" s="5">
        <v>32.623422087057399</v>
      </c>
      <c r="H156" s="5">
        <v>-5.9519117072927941</v>
      </c>
      <c r="I156" s="5">
        <v>74.415316517737395</v>
      </c>
      <c r="J156" s="5">
        <v>-41.791894430679903</v>
      </c>
      <c r="K156" s="5">
        <v>1.29183697106488</v>
      </c>
      <c r="L156" s="5">
        <v>120.198794511022</v>
      </c>
      <c r="M156" s="5">
        <v>-43.468831222491204</v>
      </c>
      <c r="N156" s="5">
        <v>87.381745770898604</v>
      </c>
      <c r="O156" s="5">
        <v>19</v>
      </c>
      <c r="P156" s="5">
        <v>16.586854182093699</v>
      </c>
      <c r="Q156" s="5">
        <v>-63.073099674786597</v>
      </c>
      <c r="R156" s="5">
        <v>20</v>
      </c>
      <c r="S156" s="5">
        <v>9.1708542713567098E-2</v>
      </c>
    </row>
    <row r="157" spans="1:19" x14ac:dyDescent="0.2">
      <c r="A157" s="5" t="s">
        <v>180</v>
      </c>
      <c r="D157" s="3">
        <v>156</v>
      </c>
      <c r="E157" s="5" t="s">
        <v>58</v>
      </c>
      <c r="F157" s="9" t="s">
        <v>135</v>
      </c>
      <c r="G157" s="5">
        <v>25.480898388693699</v>
      </c>
      <c r="H157" s="5">
        <v>-7.8920377256040055</v>
      </c>
      <c r="I157" s="5">
        <v>67.476903950072099</v>
      </c>
      <c r="J157" s="5">
        <v>-41.996005561378396</v>
      </c>
      <c r="K157" s="5">
        <v>1.4823394289707801</v>
      </c>
      <c r="L157" s="5">
        <v>100.9329465895116</v>
      </c>
      <c r="M157" s="5">
        <v>-37.731884342900884</v>
      </c>
      <c r="N157" s="5">
        <v>116.467121566122</v>
      </c>
      <c r="O157" s="5">
        <v>19</v>
      </c>
      <c r="P157" s="5">
        <v>16.3343111460924</v>
      </c>
      <c r="Q157" s="5">
        <v>-65.882588763651</v>
      </c>
      <c r="R157" s="5">
        <v>27</v>
      </c>
      <c r="S157" s="5">
        <v>0.86524822695035397</v>
      </c>
    </row>
    <row r="158" spans="1:19" x14ac:dyDescent="0.2">
      <c r="A158" s="5" t="s">
        <v>181</v>
      </c>
      <c r="D158" s="3">
        <v>157</v>
      </c>
      <c r="E158" s="5" t="s">
        <v>58</v>
      </c>
      <c r="F158" s="9" t="s">
        <v>135</v>
      </c>
      <c r="G158" s="5">
        <v>21.567764920568301</v>
      </c>
      <c r="H158" s="5">
        <v>-8.549707122602797</v>
      </c>
      <c r="I158" s="5">
        <v>57.118606704247803</v>
      </c>
      <c r="J158" s="5">
        <v>-35.550841783679502</v>
      </c>
      <c r="K158" s="5">
        <v>2.0566021171548301</v>
      </c>
      <c r="L158" s="5">
        <v>86.541587943363595</v>
      </c>
      <c r="M158" s="5">
        <v>-21.651718079434403</v>
      </c>
      <c r="N158" s="5">
        <v>260.975945606381</v>
      </c>
      <c r="O158" s="5">
        <v>60</v>
      </c>
      <c r="P158" s="5">
        <v>-2.3033281323411501</v>
      </c>
      <c r="Q158" s="5">
        <v>-61.218434418343101</v>
      </c>
      <c r="R158" s="5">
        <v>22</v>
      </c>
      <c r="S158" s="5">
        <v>4.1050035236081903E-2</v>
      </c>
    </row>
    <row r="159" spans="1:19" x14ac:dyDescent="0.2">
      <c r="A159" s="5" t="s">
        <v>182</v>
      </c>
      <c r="D159" s="3">
        <v>158</v>
      </c>
      <c r="E159" s="5" t="s">
        <v>58</v>
      </c>
      <c r="F159" s="9" t="s">
        <v>135</v>
      </c>
      <c r="G159" s="5">
        <v>46.230369329164098</v>
      </c>
      <c r="H159" s="5">
        <v>-10.128114675264698</v>
      </c>
      <c r="I159" s="5">
        <v>82.0442790158246</v>
      </c>
      <c r="J159" s="5">
        <v>-35.813909686660601</v>
      </c>
      <c r="K159" s="5">
        <v>2.0479351836694901</v>
      </c>
      <c r="L159" s="5">
        <v>147.01107207295999</v>
      </c>
      <c r="M159" s="5">
        <v>-21.292936979734321</v>
      </c>
      <c r="N159" s="5">
        <v>226.433216101032</v>
      </c>
      <c r="O159" s="5">
        <v>79</v>
      </c>
      <c r="P159" s="5">
        <v>4.3072389160579396</v>
      </c>
      <c r="Q159" s="5">
        <v>-56.508256843165398</v>
      </c>
      <c r="R159" s="5">
        <v>20</v>
      </c>
      <c r="S159" s="5">
        <v>0.42462845010615702</v>
      </c>
    </row>
    <row r="160" spans="1:19" x14ac:dyDescent="0.2">
      <c r="A160" s="5" t="s">
        <v>183</v>
      </c>
      <c r="D160" s="5">
        <v>159</v>
      </c>
      <c r="E160" s="5" t="s">
        <v>58</v>
      </c>
      <c r="F160" s="9" t="s">
        <v>135</v>
      </c>
      <c r="G160" s="5">
        <v>40.278461113431703</v>
      </c>
      <c r="H160" s="5">
        <v>-17.461132549776899</v>
      </c>
      <c r="I160" s="5">
        <v>70.798129354535703</v>
      </c>
      <c r="J160" s="5">
        <v>-30.519668241104</v>
      </c>
      <c r="K160" s="5">
        <v>2.2656402866453802</v>
      </c>
      <c r="L160" s="5">
        <v>101.80032991235279</v>
      </c>
      <c r="M160" s="5">
        <v>-16.498653943819519</v>
      </c>
      <c r="N160" s="5">
        <v>249.54429452177999</v>
      </c>
      <c r="O160" s="5">
        <v>19</v>
      </c>
      <c r="P160" s="5">
        <v>7.2079826980288901</v>
      </c>
      <c r="Q160" s="5">
        <v>-50.633096335147997</v>
      </c>
      <c r="R160" s="5">
        <v>17</v>
      </c>
      <c r="S160" s="5">
        <v>0.53645066273932296</v>
      </c>
    </row>
    <row r="161" spans="1:19" x14ac:dyDescent="0.2">
      <c r="A161" s="5" t="s">
        <v>184</v>
      </c>
      <c r="D161" s="3">
        <v>160</v>
      </c>
      <c r="E161" s="5" t="s">
        <v>58</v>
      </c>
      <c r="F161" s="9" t="s">
        <v>135</v>
      </c>
      <c r="G161" s="5">
        <v>51.261540213926096</v>
      </c>
      <c r="H161" s="5">
        <v>-2.2689608058452961</v>
      </c>
      <c r="I161" s="5">
        <v>93.849448587517998</v>
      </c>
      <c r="J161" s="5">
        <v>-42.587908373591901</v>
      </c>
      <c r="K161" s="5">
        <v>1.6623709729546301</v>
      </c>
      <c r="L161" s="5">
        <v>186.92992573319242</v>
      </c>
      <c r="M161" s="5">
        <v>-45.865876978139603</v>
      </c>
      <c r="N161" s="5">
        <v>96.204045211882502</v>
      </c>
      <c r="O161" s="5">
        <v>79</v>
      </c>
      <c r="P161" s="5">
        <v>2.60344261824708</v>
      </c>
      <c r="Q161" s="5">
        <v>-60.980945719311599</v>
      </c>
      <c r="R161" s="5">
        <v>20</v>
      </c>
      <c r="S161" s="5">
        <v>0.138839625031669</v>
      </c>
    </row>
    <row r="162" spans="1:19" x14ac:dyDescent="0.2">
      <c r="A162" s="5" t="s">
        <v>185</v>
      </c>
      <c r="D162" s="3">
        <v>161</v>
      </c>
      <c r="E162" s="5" t="s">
        <v>58</v>
      </c>
      <c r="F162" s="9" t="s">
        <v>135</v>
      </c>
      <c r="G162" s="5">
        <v>50.702521233321498</v>
      </c>
      <c r="H162" s="5">
        <v>-5.8532613715767994</v>
      </c>
      <c r="I162" s="5">
        <v>94.967487589902603</v>
      </c>
      <c r="J162" s="5">
        <v>-44.264966356581198</v>
      </c>
      <c r="K162" s="5">
        <v>1.77039292552129</v>
      </c>
      <c r="L162" s="5">
        <v>164.28585886691121</v>
      </c>
      <c r="M162" s="5">
        <v>-49.437163114923202</v>
      </c>
      <c r="N162" s="5">
        <v>138.95512946117199</v>
      </c>
      <c r="O162" s="5">
        <v>39</v>
      </c>
      <c r="P162" s="5">
        <v>11.8867107283672</v>
      </c>
      <c r="Q162" s="5">
        <v>-57.566825653559498</v>
      </c>
      <c r="R162" s="5">
        <v>22</v>
      </c>
      <c r="S162" s="5">
        <v>0.19638351555929301</v>
      </c>
    </row>
    <row r="163" spans="1:19" x14ac:dyDescent="0.2">
      <c r="A163" s="5" t="s">
        <v>186</v>
      </c>
      <c r="D163" s="3">
        <v>162</v>
      </c>
      <c r="E163" s="5" t="s">
        <v>58</v>
      </c>
      <c r="F163" s="9" t="s">
        <v>135</v>
      </c>
      <c r="G163" s="5">
        <v>23.5078899288768</v>
      </c>
      <c r="H163" s="5">
        <v>-5.0969406754289039</v>
      </c>
      <c r="I163" s="5">
        <v>58.039343593532799</v>
      </c>
      <c r="J163" s="5">
        <v>-34.531453664655999</v>
      </c>
      <c r="K163" s="5">
        <v>1.2119954432392599</v>
      </c>
      <c r="L163" s="5">
        <v>31.096335212005719</v>
      </c>
      <c r="M163" s="5">
        <v>-20.888372568735242</v>
      </c>
      <c r="N163" s="5">
        <v>175.044234376666</v>
      </c>
      <c r="O163" s="5">
        <v>180</v>
      </c>
      <c r="P163" s="5">
        <v>0.95096574650731203</v>
      </c>
      <c r="Q163" s="5">
        <v>-63.904989711628097</v>
      </c>
      <c r="R163" s="5">
        <v>2</v>
      </c>
      <c r="S163" s="12" t="s">
        <v>53</v>
      </c>
    </row>
    <row r="164" spans="1:19" x14ac:dyDescent="0.2">
      <c r="A164" s="5" t="s">
        <v>187</v>
      </c>
      <c r="D164" s="5">
        <v>163</v>
      </c>
      <c r="E164" s="5" t="s">
        <v>58</v>
      </c>
      <c r="F164" s="9" t="s">
        <v>135</v>
      </c>
      <c r="G164" s="5">
        <v>20.8772119460086</v>
      </c>
      <c r="H164" s="5">
        <v>-6.7082317162685996</v>
      </c>
      <c r="I164" s="5">
        <v>56.855539072303102</v>
      </c>
      <c r="J164" s="5">
        <v>-35.978327126294502</v>
      </c>
      <c r="K164" s="5">
        <v>2.5553525384525102</v>
      </c>
      <c r="L164" s="5">
        <v>34.680042335404998</v>
      </c>
      <c r="M164" s="5">
        <v>-22.371375143674559</v>
      </c>
      <c r="N164" s="5">
        <v>222.87219561593699</v>
      </c>
      <c r="O164" s="5">
        <v>140</v>
      </c>
      <c r="P164" s="5">
        <v>5.1126470200844896</v>
      </c>
      <c r="Q164" s="5">
        <v>-60.4474322194324</v>
      </c>
      <c r="R164" s="5">
        <v>2</v>
      </c>
      <c r="S164" s="12" t="s">
        <v>53</v>
      </c>
    </row>
    <row r="165" spans="1:19" x14ac:dyDescent="0.2">
      <c r="A165" s="5" t="s">
        <v>188</v>
      </c>
      <c r="D165" s="3">
        <v>164</v>
      </c>
      <c r="E165" s="5" t="s">
        <v>58</v>
      </c>
      <c r="F165" s="9" t="s">
        <v>135</v>
      </c>
      <c r="G165" s="5">
        <v>46.822271793170998</v>
      </c>
      <c r="H165" s="5">
        <v>-12.923211103994198</v>
      </c>
      <c r="I165" s="5">
        <v>79.709551089087697</v>
      </c>
      <c r="J165" s="5">
        <v>-32.887279295916699</v>
      </c>
      <c r="K165" s="5">
        <v>1.9307199783112701</v>
      </c>
      <c r="L165" s="5">
        <v>111.91343822889679</v>
      </c>
      <c r="M165" s="5">
        <v>-43.435422182954397</v>
      </c>
      <c r="N165" s="5">
        <v>78.254632446616796</v>
      </c>
      <c r="O165" s="5">
        <v>120</v>
      </c>
      <c r="P165" s="5">
        <v>4.3525815367402396</v>
      </c>
      <c r="Q165" s="5">
        <v>-63.335447409533202</v>
      </c>
      <c r="R165" s="5">
        <v>11</v>
      </c>
      <c r="S165" s="5">
        <v>0.37116912599318902</v>
      </c>
    </row>
  </sheetData>
  <conditionalFormatting sqref="N2:N339">
    <cfRule type="cellIs" dxfId="15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E59BC-3FA6-794F-8C3F-2278D61F0430}">
  <dimension ref="A1:AE165"/>
  <sheetViews>
    <sheetView tabSelected="1" topLeftCell="C5" zoomScale="81" workbookViewId="0">
      <selection activeCell="AF159" sqref="AF159"/>
    </sheetView>
  </sheetViews>
  <sheetFormatPr baseColWidth="10" defaultColWidth="9.1640625" defaultRowHeight="15" x14ac:dyDescent="0.2"/>
  <cols>
    <col min="1" max="5" width="9.1640625" style="5"/>
    <col min="6" max="6" width="9.1640625" style="9"/>
    <col min="7" max="7" width="9.33203125" style="5" bestFit="1" customWidth="1"/>
    <col min="8" max="8" width="9.83203125" style="5" bestFit="1" customWidth="1"/>
    <col min="9" max="9" width="9.33203125" style="5" bestFit="1" customWidth="1"/>
    <col min="10" max="10" width="9.83203125" style="5" bestFit="1" customWidth="1"/>
    <col min="11" max="12" width="9.33203125" style="5" bestFit="1" customWidth="1"/>
    <col min="13" max="13" width="9.83203125" style="5" bestFit="1" customWidth="1"/>
    <col min="14" max="14" width="10.33203125" style="5" bestFit="1" customWidth="1"/>
    <col min="15" max="16" width="9.33203125" style="5" bestFit="1" customWidth="1"/>
    <col min="17" max="17" width="9.83203125" style="5" bestFit="1" customWidth="1"/>
    <col min="18" max="19" width="9.33203125" style="5" bestFit="1" customWidth="1"/>
    <col min="20" max="16384" width="9.1640625" style="5"/>
  </cols>
  <sheetData>
    <row r="1" spans="1:31" ht="1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/>
      <c r="U1" s="2" t="s">
        <v>239</v>
      </c>
      <c r="V1" s="2" t="s">
        <v>240</v>
      </c>
      <c r="W1" s="5" t="s">
        <v>241</v>
      </c>
      <c r="X1" s="5" t="s">
        <v>242</v>
      </c>
      <c r="Y1" s="5" t="s">
        <v>243</v>
      </c>
      <c r="Z1" s="5" t="s">
        <v>244</v>
      </c>
      <c r="AA1" s="5" t="s">
        <v>245</v>
      </c>
      <c r="AB1" s="5" t="s">
        <v>246</v>
      </c>
      <c r="AC1" s="5" t="s">
        <v>247</v>
      </c>
      <c r="AD1" s="5" t="s">
        <v>248</v>
      </c>
      <c r="AE1" s="5" t="s">
        <v>249</v>
      </c>
    </row>
    <row r="2" spans="1:31" ht="16" x14ac:dyDescent="0.2">
      <c r="A2" s="3" t="s">
        <v>19</v>
      </c>
      <c r="B2" s="3"/>
      <c r="C2" s="3"/>
      <c r="D2" s="3">
        <v>1</v>
      </c>
      <c r="E2" s="3" t="s">
        <v>20</v>
      </c>
      <c r="F2" s="4" t="s">
        <v>21</v>
      </c>
      <c r="G2" s="3">
        <v>42.014099469999998</v>
      </c>
      <c r="H2" s="3">
        <v>-9.8321646479999991</v>
      </c>
      <c r="I2" s="3">
        <v>95.394978440000003</v>
      </c>
      <c r="J2" s="3">
        <v>-53.380878969999998</v>
      </c>
      <c r="K2" s="3">
        <v>1.799017375</v>
      </c>
      <c r="L2" s="3">
        <v>189.20648748000002</v>
      </c>
      <c r="M2" s="3">
        <v>-42.581119239999992</v>
      </c>
      <c r="N2" s="3">
        <v>191.0619082</v>
      </c>
      <c r="O2" s="3">
        <v>19</v>
      </c>
      <c r="P2" s="3">
        <v>5.5345689589999996</v>
      </c>
      <c r="Q2" s="3">
        <v>-67.315520559999996</v>
      </c>
      <c r="R2" s="3">
        <v>14</v>
      </c>
      <c r="S2" s="3">
        <v>0.72569088999999998</v>
      </c>
      <c r="T2" s="3"/>
      <c r="U2" s="3">
        <f>(G2- AVERAGE($G$2:$G$163))/_xlfn.STDEV.S($G$2:$G$163)</f>
        <v>-0.21372013177448326</v>
      </c>
      <c r="V2" s="2">
        <f>(H2- AVERAGE($H$2:$H$163))/_xlfn.STDEV.S($H$2:$H$163)</f>
        <v>-0.27756368996251757</v>
      </c>
      <c r="W2" s="5">
        <f>(I2- AVERAGE($I$2:$I$163))/_xlfn.STDEV.S($I$2:$I$163)</f>
        <v>0.71546351571311761</v>
      </c>
      <c r="X2" s="5">
        <f>(J2- AVERAGE($J$2:$J$163))/_xlfn.STDEV.S($J$2:$J$163)</f>
        <v>-1.4212866172813063</v>
      </c>
      <c r="Y2" s="5">
        <f>(K2- AVERAGE($K$2:$K$163))/_xlfn.STDEV.S($K$2:$K$163)</f>
        <v>-0.10596554010906827</v>
      </c>
      <c r="Z2" s="5">
        <f>(L2- AVERAGE($L$2:$L$163))/_xlfn.STDEV.S($L$2:$L$163)</f>
        <v>0.4821582947057928</v>
      </c>
      <c r="AA2" s="5">
        <f>(M2- AVERAGE($M$2:$M$163))/_xlfn.STDEV.S($M$2:$M$163)</f>
        <v>-0.48351923349031423</v>
      </c>
      <c r="AB2" s="5">
        <f>(O2- AVERAGE($O$2:$O$163))/_xlfn.STDEV.S($O$2:$O$163)</f>
        <v>-1.2904363698511008</v>
      </c>
      <c r="AC2" s="5">
        <f>(P2- AVERAGE($P$2:$P$163))/_xlfn.STDEV.S($P$2:$P$163)</f>
        <v>-0.43573061329877255</v>
      </c>
      <c r="AD2" s="5">
        <f>(Q2- AVERAGE($Q$2:$Q$163))/_xlfn.STDEV.S($Q$2:$Q$163)</f>
        <v>-0.47757010069803446</v>
      </c>
      <c r="AE2" s="5">
        <f>(R2- AVERAGE($R$2:$R$163))/_xlfn.STDEV.S($R$2:$R$163)</f>
        <v>0.27675843076341339</v>
      </c>
    </row>
    <row r="3" spans="1:31" ht="16" x14ac:dyDescent="0.2">
      <c r="A3" s="3" t="s">
        <v>23</v>
      </c>
      <c r="D3" s="5">
        <v>3</v>
      </c>
      <c r="E3" s="5" t="s">
        <v>20</v>
      </c>
      <c r="F3" s="9" t="s">
        <v>21</v>
      </c>
      <c r="G3" s="5">
        <v>50.634652616666671</v>
      </c>
      <c r="H3" s="5">
        <v>-8.7031643176666673</v>
      </c>
      <c r="I3" s="5">
        <v>100.42614622666667</v>
      </c>
      <c r="J3" s="5">
        <v>-49.791493636666672</v>
      </c>
      <c r="K3" s="5">
        <v>1.6572900353333333</v>
      </c>
      <c r="L3" s="5">
        <v>292.21720690666666</v>
      </c>
      <c r="M3" s="5">
        <v>-46.814732600000006</v>
      </c>
      <c r="N3" s="5">
        <v>105.376371143333</v>
      </c>
      <c r="O3" s="5">
        <v>146.33333333333334</v>
      </c>
      <c r="P3" s="5">
        <v>7.5191665906666669</v>
      </c>
      <c r="Q3" s="5">
        <v>-75.074436896666668</v>
      </c>
      <c r="R3" s="5">
        <v>16</v>
      </c>
      <c r="S3" s="5">
        <v>0.49787691000000001</v>
      </c>
      <c r="U3" s="3">
        <f t="shared" ref="U3:U66" si="0">(G3- AVERAGE($G$2:$G$163))/_xlfn.STDEV.S($G$2:$G$163)</f>
        <v>0.58636899190302083</v>
      </c>
      <c r="V3" s="2">
        <f t="shared" ref="V3:V66" si="1">(H3- AVERAGE($H$2:$H$163))/_xlfn.STDEV.S($H$2:$H$163)</f>
        <v>-5.9519264003087526E-2</v>
      </c>
      <c r="W3" s="5">
        <f t="shared" ref="W3:W66" si="2">(I3- AVERAGE($I$2:$I$163))/_xlfn.STDEV.S($I$2:$I$163)</f>
        <v>1.1209270178235973</v>
      </c>
      <c r="X3" s="5">
        <f t="shared" ref="X3:X66" si="3">(J3- AVERAGE($J$2:$J$163))/_xlfn.STDEV.S($J$2:$J$163)</f>
        <v>-0.96499741910526926</v>
      </c>
      <c r="Y3" s="5">
        <f t="shared" ref="Y3:Y66" si="4">(K3- AVERAGE($K$2:$K$163))/_xlfn.STDEV.S($K$2:$K$163)</f>
        <v>-0.45583637654269599</v>
      </c>
      <c r="Z3" s="5">
        <f t="shared" ref="Z3:Z66" si="5">(L3- AVERAGE($L$2:$L$163))/_xlfn.STDEV.S($L$2:$L$163)</f>
        <v>2.3515752820969027</v>
      </c>
      <c r="AA3" s="5">
        <f t="shared" ref="AA3:AA66" si="6">(M3- AVERAGE($M$2:$M$163))/_xlfn.STDEV.S($M$2:$M$163)</f>
        <v>-0.9116725828309572</v>
      </c>
      <c r="AB3" s="5">
        <f t="shared" ref="AB3:AB66" si="7">(O3- AVERAGE($O$2:$O$163))/_xlfn.STDEV.S($O$2:$O$163)</f>
        <v>0.51072890733283427</v>
      </c>
      <c r="AC3" s="5">
        <f t="shared" ref="AC3:AC66" si="8">(P3- AVERAGE($P$2:$P$163))/_xlfn.STDEV.S($P$2:$P$163)</f>
        <v>-8.5731015833171859E-2</v>
      </c>
      <c r="AD3" s="5">
        <f t="shared" ref="AD3:AD66" si="9">(Q3- AVERAGE($Q$2:$Q$163))/_xlfn.STDEV.S($Q$2:$Q$163)</f>
        <v>-1.7892809133049752</v>
      </c>
      <c r="AE3" s="5">
        <f t="shared" ref="AE3:AE66" si="10">(R3- AVERAGE($R$2:$R$163))/_xlfn.STDEV.S($R$2:$R$163)</f>
        <v>0.61835740816282658</v>
      </c>
    </row>
    <row r="4" spans="1:31" ht="16" x14ac:dyDescent="0.2">
      <c r="A4" s="3" t="s">
        <v>24</v>
      </c>
      <c r="B4" s="3"/>
      <c r="C4" s="3"/>
      <c r="D4" s="3">
        <v>4</v>
      </c>
      <c r="E4" s="3" t="s">
        <v>20</v>
      </c>
      <c r="F4" s="4" t="s">
        <v>21</v>
      </c>
      <c r="G4" s="3">
        <v>38.141035459999998</v>
      </c>
      <c r="H4" s="3">
        <v>-8.7470099720000007</v>
      </c>
      <c r="I4" s="3">
        <v>100.29462169999999</v>
      </c>
      <c r="J4" s="3">
        <v>-62.153586259999997</v>
      </c>
      <c r="K4" s="3">
        <v>1.6783707370000001</v>
      </c>
      <c r="L4" s="3">
        <v>264.44895775999998</v>
      </c>
      <c r="M4" s="3">
        <v>-49.430451599999998</v>
      </c>
      <c r="N4" s="3">
        <v>-79.029081980000001</v>
      </c>
      <c r="O4" s="3">
        <v>100</v>
      </c>
      <c r="P4" s="3">
        <v>13.752832079999999</v>
      </c>
      <c r="Q4" s="3">
        <v>-86.849219840000004</v>
      </c>
      <c r="R4" s="3">
        <v>18</v>
      </c>
      <c r="S4" s="3">
        <v>0.43466898999999998</v>
      </c>
      <c r="T4" s="3"/>
      <c r="U4" s="3">
        <f t="shared" si="0"/>
        <v>-0.57318620512106411</v>
      </c>
      <c r="V4" s="2">
        <f t="shared" si="1"/>
        <v>-6.79871982215874E-2</v>
      </c>
      <c r="W4" s="5">
        <f t="shared" si="2"/>
        <v>1.110327412034853</v>
      </c>
      <c r="X4" s="5">
        <f t="shared" si="3"/>
        <v>-2.5364891390094049</v>
      </c>
      <c r="Y4" s="5">
        <f t="shared" si="4"/>
        <v>-0.403796150979504</v>
      </c>
      <c r="Z4" s="5">
        <f t="shared" si="5"/>
        <v>1.8476429054101986</v>
      </c>
      <c r="AA4" s="5">
        <f t="shared" si="6"/>
        <v>-1.1762052067510476</v>
      </c>
      <c r="AB4" s="5">
        <f t="shared" si="7"/>
        <v>-0.14466892912938298</v>
      </c>
      <c r="AC4" s="5">
        <f t="shared" si="8"/>
        <v>1.0136255374494254</v>
      </c>
      <c r="AD4" s="5">
        <f t="shared" si="9"/>
        <v>-3.7799081391561469</v>
      </c>
      <c r="AE4" s="5">
        <f t="shared" si="10"/>
        <v>0.95995638556223972</v>
      </c>
    </row>
    <row r="5" spans="1:31" ht="16" x14ac:dyDescent="0.2">
      <c r="A5" s="3" t="s">
        <v>25</v>
      </c>
      <c r="B5" s="3"/>
      <c r="C5" s="3"/>
      <c r="D5" s="3">
        <v>5</v>
      </c>
      <c r="E5" s="3" t="s">
        <v>20</v>
      </c>
      <c r="F5" s="4" t="s">
        <v>21</v>
      </c>
      <c r="G5" s="3">
        <v>65.206105600000001</v>
      </c>
      <c r="H5" s="3">
        <v>-9.7992793230000004</v>
      </c>
      <c r="I5" s="3">
        <v>96.151283710000001</v>
      </c>
      <c r="J5" s="3">
        <v>-30.945178110000001</v>
      </c>
      <c r="K5" s="3">
        <v>1.5906107350000001</v>
      </c>
      <c r="L5" s="3">
        <v>279.29031636000002</v>
      </c>
      <c r="M5" s="3">
        <v>-47.036524799999995</v>
      </c>
      <c r="N5" s="3">
        <v>132.36098960000001</v>
      </c>
      <c r="O5" s="3">
        <v>120</v>
      </c>
      <c r="P5" s="3">
        <v>9.2574598560000005</v>
      </c>
      <c r="Q5" s="3">
        <v>-55.044617049999999</v>
      </c>
      <c r="R5" s="3">
        <v>14</v>
      </c>
      <c r="S5" s="3">
        <v>0.41702668399999998</v>
      </c>
      <c r="T5" s="3"/>
      <c r="U5" s="3">
        <f t="shared" si="0"/>
        <v>1.9387718887694614</v>
      </c>
      <c r="V5" s="2">
        <f t="shared" si="1"/>
        <v>-0.27121252989687172</v>
      </c>
      <c r="W5" s="5">
        <f t="shared" si="2"/>
        <v>0.77641441149748991</v>
      </c>
      <c r="X5" s="5">
        <f t="shared" si="3"/>
        <v>1.4307805210272901</v>
      </c>
      <c r="Y5" s="5">
        <f t="shared" si="4"/>
        <v>-0.62044217973706184</v>
      </c>
      <c r="Z5" s="5">
        <f t="shared" si="5"/>
        <v>2.116980776626161</v>
      </c>
      <c r="AA5" s="5">
        <f t="shared" si="6"/>
        <v>-0.93410284870852534</v>
      </c>
      <c r="AB5" s="5">
        <f t="shared" si="7"/>
        <v>0.13823661178955968</v>
      </c>
      <c r="AC5" s="5">
        <f t="shared" si="8"/>
        <v>0.22083084508817508</v>
      </c>
      <c r="AD5" s="5">
        <f t="shared" si="9"/>
        <v>1.5969305274964496</v>
      </c>
      <c r="AE5" s="5">
        <f t="shared" si="10"/>
        <v>0.27675843076341339</v>
      </c>
    </row>
    <row r="6" spans="1:31" ht="16" x14ac:dyDescent="0.2">
      <c r="A6" s="3" t="s">
        <v>26</v>
      </c>
      <c r="B6" s="3"/>
      <c r="C6" s="3"/>
      <c r="D6" s="3">
        <v>6</v>
      </c>
      <c r="E6" s="5" t="s">
        <v>20</v>
      </c>
      <c r="F6" s="9" t="s">
        <v>21</v>
      </c>
      <c r="G6" s="3">
        <v>39.163756280000001</v>
      </c>
      <c r="H6" s="3">
        <v>-10.06234972</v>
      </c>
      <c r="I6" s="3">
        <v>101.379775</v>
      </c>
      <c r="J6" s="3">
        <v>-62.21601871</v>
      </c>
      <c r="K6" s="3">
        <v>1.5486281070000001</v>
      </c>
      <c r="L6" s="3">
        <v>319.46301612000002</v>
      </c>
      <c r="M6" s="3">
        <v>-50.546610440000002</v>
      </c>
      <c r="N6" s="3">
        <v>140.99600839999999</v>
      </c>
      <c r="O6" s="3">
        <v>100</v>
      </c>
      <c r="P6" s="3">
        <v>13.466889159999999</v>
      </c>
      <c r="Q6" s="3">
        <v>-84.849326430000005</v>
      </c>
      <c r="R6" s="3">
        <v>17</v>
      </c>
      <c r="S6" s="3">
        <v>0.59344132800000005</v>
      </c>
      <c r="T6" s="3"/>
      <c r="U6" s="3">
        <f t="shared" si="0"/>
        <v>-0.47826563671682626</v>
      </c>
      <c r="V6" s="2">
        <f t="shared" si="1"/>
        <v>-0.32201945365024987</v>
      </c>
      <c r="W6" s="5">
        <f t="shared" si="2"/>
        <v>1.1977802810309501</v>
      </c>
      <c r="X6" s="5">
        <f t="shared" si="3"/>
        <v>-2.5444256657138844</v>
      </c>
      <c r="Y6" s="5">
        <f t="shared" si="4"/>
        <v>-0.72408130263733073</v>
      </c>
      <c r="Z6" s="5">
        <f t="shared" si="5"/>
        <v>2.8460265281624384</v>
      </c>
      <c r="AA6" s="5">
        <f t="shared" si="6"/>
        <v>-1.2890844673508315</v>
      </c>
      <c r="AB6" s="5">
        <f t="shared" si="7"/>
        <v>-0.14466892912938298</v>
      </c>
      <c r="AC6" s="5">
        <f t="shared" si="8"/>
        <v>0.96319722628889504</v>
      </c>
      <c r="AD6" s="5">
        <f t="shared" si="9"/>
        <v>-3.4418091448982246</v>
      </c>
      <c r="AE6" s="5">
        <f t="shared" si="10"/>
        <v>0.7891568968625331</v>
      </c>
    </row>
    <row r="7" spans="1:31" ht="16" x14ac:dyDescent="0.2">
      <c r="A7" s="3" t="s">
        <v>27</v>
      </c>
      <c r="B7" s="3"/>
      <c r="C7" s="3"/>
      <c r="D7" s="5">
        <v>7</v>
      </c>
      <c r="E7" s="3" t="s">
        <v>20</v>
      </c>
      <c r="F7" s="4" t="s">
        <v>21</v>
      </c>
      <c r="G7" s="3">
        <v>53.616334639999998</v>
      </c>
      <c r="H7" s="3">
        <v>-16.14579355</v>
      </c>
      <c r="I7" s="3">
        <v>90.791281749999996</v>
      </c>
      <c r="J7" s="3">
        <v>-37.174947109999998</v>
      </c>
      <c r="K7" s="3">
        <v>1.588570204</v>
      </c>
      <c r="L7" s="3">
        <v>240.18092039999999</v>
      </c>
      <c r="M7" s="3">
        <v>-55.162034919999996</v>
      </c>
      <c r="N7" s="3">
        <v>94.829873719999995</v>
      </c>
      <c r="O7" s="3">
        <v>200</v>
      </c>
      <c r="P7" s="3">
        <v>12.53636133</v>
      </c>
      <c r="Q7" s="3">
        <v>-64.947469780000006</v>
      </c>
      <c r="R7" s="3">
        <v>12</v>
      </c>
      <c r="S7" s="3">
        <v>0.409090909</v>
      </c>
      <c r="T7" s="3"/>
      <c r="U7" s="3">
        <f t="shared" si="0"/>
        <v>0.86310429143031153</v>
      </c>
      <c r="V7" s="2">
        <f t="shared" si="1"/>
        <v>-1.4969181513124157</v>
      </c>
      <c r="W7" s="5">
        <f t="shared" si="2"/>
        <v>0.34445005288870728</v>
      </c>
      <c r="X7" s="5">
        <f t="shared" si="3"/>
        <v>0.63884094423291482</v>
      </c>
      <c r="Y7" s="5">
        <f t="shared" si="4"/>
        <v>-0.62547947380761904</v>
      </c>
      <c r="Z7" s="5">
        <f t="shared" si="5"/>
        <v>1.4072316400202607</v>
      </c>
      <c r="AA7" s="5">
        <f t="shared" si="6"/>
        <v>-1.7558510994697329</v>
      </c>
      <c r="AB7" s="5">
        <f t="shared" si="7"/>
        <v>1.2698587754653303</v>
      </c>
      <c r="AC7" s="5">
        <f t="shared" si="8"/>
        <v>0.79909123284526262</v>
      </c>
      <c r="AD7" s="5">
        <f t="shared" si="9"/>
        <v>-7.723097108927926E-2</v>
      </c>
      <c r="AE7" s="5">
        <f t="shared" si="10"/>
        <v>-6.4840546635999738E-2</v>
      </c>
    </row>
    <row r="8" spans="1:31" ht="16" x14ac:dyDescent="0.2">
      <c r="A8" s="3" t="s">
        <v>28</v>
      </c>
      <c r="B8" s="3"/>
      <c r="C8" s="3"/>
      <c r="D8" s="3">
        <v>8</v>
      </c>
      <c r="E8" s="3" t="s">
        <v>20</v>
      </c>
      <c r="F8" s="4" t="s">
        <v>21</v>
      </c>
      <c r="G8" s="3">
        <v>56.358477899999997</v>
      </c>
      <c r="H8" s="3">
        <v>-17.625550659999998</v>
      </c>
      <c r="I8" s="3">
        <v>91.087232489999991</v>
      </c>
      <c r="J8" s="3">
        <v>-34.728754589999994</v>
      </c>
      <c r="K8" s="3">
        <v>1.6588442765</v>
      </c>
      <c r="L8" s="3">
        <v>200.36998791999997</v>
      </c>
      <c r="M8" s="3">
        <v>-49.757209680000003</v>
      </c>
      <c r="N8" s="3">
        <v>-72.807624629999992</v>
      </c>
      <c r="O8" s="3">
        <v>179.5</v>
      </c>
      <c r="P8" s="3">
        <v>7.550946562</v>
      </c>
      <c r="Q8" s="3">
        <v>-62.437305780000003</v>
      </c>
      <c r="R8" s="3">
        <v>12</v>
      </c>
      <c r="S8" s="3">
        <v>0.62321714049999999</v>
      </c>
      <c r="T8" s="3"/>
      <c r="U8" s="3">
        <f t="shared" si="0"/>
        <v>1.1176075652416813</v>
      </c>
      <c r="V8" s="2">
        <f t="shared" si="1"/>
        <v>-1.7827044181012597</v>
      </c>
      <c r="W8" s="5">
        <f t="shared" si="2"/>
        <v>0.36830082244773416</v>
      </c>
      <c r="X8" s="5">
        <f t="shared" si="3"/>
        <v>0.94980539075514869</v>
      </c>
      <c r="Y8" s="5">
        <f t="shared" si="4"/>
        <v>-0.45199954690714228</v>
      </c>
      <c r="Z8" s="5">
        <f t="shared" si="5"/>
        <v>0.68475116540349579</v>
      </c>
      <c r="AA8" s="5">
        <f t="shared" si="6"/>
        <v>-1.2092508711704641</v>
      </c>
      <c r="AB8" s="5">
        <f t="shared" si="7"/>
        <v>0.97988059602341404</v>
      </c>
      <c r="AC8" s="5">
        <f t="shared" si="8"/>
        <v>-8.0126364796279395E-2</v>
      </c>
      <c r="AD8" s="5">
        <f t="shared" si="9"/>
        <v>0.34713360733215004</v>
      </c>
      <c r="AE8" s="5">
        <f t="shared" si="10"/>
        <v>-6.4840546635999738E-2</v>
      </c>
    </row>
    <row r="9" spans="1:31" ht="16" x14ac:dyDescent="0.2">
      <c r="A9" s="3" t="s">
        <v>29</v>
      </c>
      <c r="B9" s="3"/>
      <c r="C9" s="3"/>
      <c r="D9" s="3">
        <v>9</v>
      </c>
      <c r="E9" s="5" t="s">
        <v>20</v>
      </c>
      <c r="F9" s="9" t="s">
        <v>21</v>
      </c>
      <c r="G9" s="3">
        <v>56.194060559999997</v>
      </c>
      <c r="H9" s="3">
        <v>-16.44174456</v>
      </c>
      <c r="I9" s="3">
        <v>88.456553600000007</v>
      </c>
      <c r="J9" s="3">
        <v>-32.262493040000003</v>
      </c>
      <c r="K9" s="3">
        <v>1.6768025499999999</v>
      </c>
      <c r="L9" s="3">
        <v>213.14471835999998</v>
      </c>
      <c r="M9" s="3">
        <v>-48.308818560000006</v>
      </c>
      <c r="N9" s="3">
        <v>-77.913109270000007</v>
      </c>
      <c r="O9" s="3">
        <v>140</v>
      </c>
      <c r="P9" s="3">
        <v>10.761325599999999</v>
      </c>
      <c r="Q9" s="3">
        <v>-61.831145630000002</v>
      </c>
      <c r="R9" s="3">
        <v>12</v>
      </c>
      <c r="S9" s="3">
        <v>0.39376139399999999</v>
      </c>
      <c r="T9" s="3"/>
      <c r="U9" s="3">
        <f t="shared" si="0"/>
        <v>1.1023476946463875</v>
      </c>
      <c r="V9" s="2">
        <f t="shared" si="1"/>
        <v>-1.5540753251004085</v>
      </c>
      <c r="W9" s="5">
        <f t="shared" si="2"/>
        <v>0.15629352694582982</v>
      </c>
      <c r="X9" s="5">
        <f t="shared" si="3"/>
        <v>1.2633210489073585</v>
      </c>
      <c r="Y9" s="5">
        <f t="shared" si="4"/>
        <v>-0.40766740756743414</v>
      </c>
      <c r="Z9" s="5">
        <f t="shared" si="5"/>
        <v>0.91658430108875266</v>
      </c>
      <c r="AA9" s="5">
        <f t="shared" si="6"/>
        <v>-1.0627723299218979</v>
      </c>
      <c r="AB9" s="5">
        <f t="shared" si="7"/>
        <v>0.4211421527085023</v>
      </c>
      <c r="AC9" s="5">
        <f t="shared" si="8"/>
        <v>0.48604954566692882</v>
      </c>
      <c r="AD9" s="5">
        <f t="shared" si="9"/>
        <v>0.44961013735593353</v>
      </c>
      <c r="AE9" s="5">
        <f t="shared" si="10"/>
        <v>-6.4840546635999738E-2</v>
      </c>
    </row>
    <row r="10" spans="1:31" ht="16" x14ac:dyDescent="0.2">
      <c r="A10" s="3" t="s">
        <v>30</v>
      </c>
      <c r="B10" s="3"/>
      <c r="C10" s="3"/>
      <c r="D10" s="3">
        <v>10</v>
      </c>
      <c r="E10" s="3" t="s">
        <v>20</v>
      </c>
      <c r="F10" s="4" t="s">
        <v>21</v>
      </c>
      <c r="G10" s="3">
        <v>49.979084899999997</v>
      </c>
      <c r="H10" s="3">
        <v>-10.588484040000001</v>
      </c>
      <c r="I10" s="3">
        <v>91.71202255</v>
      </c>
      <c r="J10" s="3">
        <v>-41.732937649999997</v>
      </c>
      <c r="K10" s="3">
        <v>1.4710972019999999</v>
      </c>
      <c r="L10" s="3">
        <v>214.46006619999997</v>
      </c>
      <c r="M10" s="3">
        <v>-51.634710000000005</v>
      </c>
      <c r="N10" s="3">
        <v>-86.917629169999998</v>
      </c>
      <c r="O10" s="3">
        <v>200</v>
      </c>
      <c r="P10" s="3">
        <v>5.4100967779999998</v>
      </c>
      <c r="Q10" s="3">
        <v>-65.900275399999998</v>
      </c>
      <c r="R10" s="3">
        <v>12</v>
      </c>
      <c r="S10" s="3">
        <v>0.62013536400000002</v>
      </c>
      <c r="T10" s="3"/>
      <c r="U10" s="3">
        <f t="shared" si="0"/>
        <v>0.5255245668394255</v>
      </c>
      <c r="V10" s="2">
        <f t="shared" si="1"/>
        <v>-0.42363205082999073</v>
      </c>
      <c r="W10" s="5">
        <f t="shared" si="2"/>
        <v>0.41865286327666074</v>
      </c>
      <c r="X10" s="5">
        <f t="shared" si="3"/>
        <v>5.9420888805439671E-2</v>
      </c>
      <c r="Y10" s="5">
        <f t="shared" si="4"/>
        <v>-0.91547558581236432</v>
      </c>
      <c r="Z10" s="5">
        <f t="shared" si="5"/>
        <v>0.94045495853207528</v>
      </c>
      <c r="AA10" s="5">
        <f t="shared" si="6"/>
        <v>-1.3991260397418632</v>
      </c>
      <c r="AB10" s="5">
        <f t="shared" si="7"/>
        <v>1.2698587754653303</v>
      </c>
      <c r="AC10" s="5">
        <f t="shared" si="8"/>
        <v>-0.45768227370112785</v>
      </c>
      <c r="AD10" s="5">
        <f t="shared" si="9"/>
        <v>-0.2383108667649661</v>
      </c>
      <c r="AE10" s="5">
        <f t="shared" si="10"/>
        <v>-6.4840546635999738E-2</v>
      </c>
    </row>
    <row r="11" spans="1:31" ht="16" x14ac:dyDescent="0.2">
      <c r="A11" s="3" t="s">
        <v>31</v>
      </c>
      <c r="B11" s="3"/>
      <c r="C11" s="3"/>
      <c r="D11" s="5">
        <v>11</v>
      </c>
      <c r="E11" s="3" t="s">
        <v>20</v>
      </c>
      <c r="F11" s="4" t="s">
        <v>21</v>
      </c>
      <c r="G11" s="3">
        <v>53.760683870000001</v>
      </c>
      <c r="H11" s="3">
        <v>-25.517588100000001</v>
      </c>
      <c r="I11" s="3">
        <v>84.148818169999998</v>
      </c>
      <c r="J11" s="3">
        <v>-30.38813429</v>
      </c>
      <c r="K11" s="3">
        <v>1.405451464</v>
      </c>
      <c r="L11" s="3">
        <v>209.85637824000003</v>
      </c>
      <c r="M11" s="3">
        <v>-61.434076600000004</v>
      </c>
      <c r="N11" s="3">
        <v>-50.771133939999999</v>
      </c>
      <c r="O11" s="3">
        <v>100</v>
      </c>
      <c r="P11" s="3">
        <v>11.053850410000001</v>
      </c>
      <c r="Q11" s="3">
        <v>-59.269719819999999</v>
      </c>
      <c r="R11" s="3">
        <v>12</v>
      </c>
      <c r="S11" s="3">
        <v>0.32664015899999999</v>
      </c>
      <c r="T11" s="3"/>
      <c r="U11" s="3">
        <f t="shared" si="0"/>
        <v>0.87650160445295466</v>
      </c>
      <c r="V11" s="2">
        <f t="shared" si="1"/>
        <v>-3.3068977482724455</v>
      </c>
      <c r="W11" s="5">
        <f t="shared" si="2"/>
        <v>-0.19086831850921923</v>
      </c>
      <c r="X11" s="5">
        <f t="shared" si="3"/>
        <v>1.5015929455436283</v>
      </c>
      <c r="Y11" s="5">
        <f t="shared" si="4"/>
        <v>-1.0775299171529571</v>
      </c>
      <c r="Z11" s="5">
        <f t="shared" si="5"/>
        <v>0.85690819247731931</v>
      </c>
      <c r="AA11" s="5">
        <f t="shared" si="6"/>
        <v>-2.3901545712671926</v>
      </c>
      <c r="AB11" s="5">
        <f t="shared" si="7"/>
        <v>-0.14466892912938298</v>
      </c>
      <c r="AC11" s="5">
        <f t="shared" si="8"/>
        <v>0.53763862554642061</v>
      </c>
      <c r="AD11" s="5">
        <f t="shared" si="9"/>
        <v>0.88264096084731414</v>
      </c>
      <c r="AE11" s="5">
        <f t="shared" si="10"/>
        <v>-6.4840546635999738E-2</v>
      </c>
    </row>
    <row r="12" spans="1:31" ht="16" x14ac:dyDescent="0.2">
      <c r="A12" s="3" t="s">
        <v>32</v>
      </c>
      <c r="B12" s="3"/>
      <c r="C12" s="3"/>
      <c r="D12" s="3">
        <v>12</v>
      </c>
      <c r="E12" s="5" t="s">
        <v>20</v>
      </c>
      <c r="F12" s="9" t="s">
        <v>21</v>
      </c>
      <c r="G12" s="3">
        <v>54.878721814999999</v>
      </c>
      <c r="H12" s="3">
        <v>-9.8486054349999996</v>
      </c>
      <c r="I12" s="3">
        <v>95.756688735000012</v>
      </c>
      <c r="J12" s="3">
        <v>-40.877966924999996</v>
      </c>
      <c r="K12" s="3">
        <v>1.4152960729999999</v>
      </c>
      <c r="L12" s="3">
        <v>184.20726886</v>
      </c>
      <c r="M12" s="3">
        <v>-34.731980899999996</v>
      </c>
      <c r="N12" s="3">
        <v>16.173251839999999</v>
      </c>
      <c r="O12" s="3">
        <v>130</v>
      </c>
      <c r="P12" s="3">
        <v>6.9247855104999996</v>
      </c>
      <c r="Q12" s="3">
        <v>-62.876709945000002</v>
      </c>
      <c r="R12" s="3">
        <v>17</v>
      </c>
      <c r="S12" s="3">
        <v>0.36364012899999998</v>
      </c>
      <c r="T12" s="3"/>
      <c r="U12" s="3">
        <f t="shared" si="0"/>
        <v>0.98026872756374195</v>
      </c>
      <c r="V12" s="2">
        <f t="shared" si="1"/>
        <v>-0.28073890777904198</v>
      </c>
      <c r="W12" s="5">
        <f t="shared" si="2"/>
        <v>0.74461386990102396</v>
      </c>
      <c r="X12" s="5">
        <f t="shared" si="3"/>
        <v>0.1681063238718252</v>
      </c>
      <c r="Y12" s="5">
        <f t="shared" si="4"/>
        <v>-1.0532273260417935</v>
      </c>
      <c r="Z12" s="5">
        <f t="shared" si="5"/>
        <v>0.39143352097422851</v>
      </c>
      <c r="AA12" s="5">
        <f t="shared" si="6"/>
        <v>0.3102790149423299</v>
      </c>
      <c r="AB12" s="5">
        <f t="shared" si="7"/>
        <v>0.279689382249031</v>
      </c>
      <c r="AC12" s="5">
        <f t="shared" si="8"/>
        <v>-0.19055485290728749</v>
      </c>
      <c r="AD12" s="5">
        <f t="shared" si="9"/>
        <v>0.27284859518280657</v>
      </c>
      <c r="AE12" s="5">
        <f t="shared" si="10"/>
        <v>0.7891568968625331</v>
      </c>
    </row>
    <row r="13" spans="1:31" ht="16" x14ac:dyDescent="0.2">
      <c r="A13" s="5" t="s">
        <v>33</v>
      </c>
      <c r="D13" s="3">
        <v>13</v>
      </c>
      <c r="E13" s="3" t="s">
        <v>20</v>
      </c>
      <c r="F13" s="4" t="s">
        <v>21</v>
      </c>
      <c r="G13" s="5">
        <v>55.914551077655304</v>
      </c>
      <c r="H13" s="5">
        <v>-11.6407553355383</v>
      </c>
      <c r="I13" s="5">
        <v>92.682081925564745</v>
      </c>
      <c r="J13" s="5">
        <v>-36.767530847909455</v>
      </c>
      <c r="K13" s="5">
        <v>1.51223414562077</v>
      </c>
      <c r="L13" s="5">
        <v>214.4002714649892</v>
      </c>
      <c r="M13" s="5">
        <v>-54.677395185719604</v>
      </c>
      <c r="N13" s="5">
        <v>68.891293074811102</v>
      </c>
      <c r="O13" s="5">
        <v>179.5</v>
      </c>
      <c r="P13" s="5">
        <v>8.4604749524398244</v>
      </c>
      <c r="Q13" s="5">
        <v>-62.52824382079455</v>
      </c>
      <c r="R13" s="5">
        <v>13</v>
      </c>
      <c r="S13" s="5">
        <v>0.32352664836683198</v>
      </c>
      <c r="U13" s="3">
        <f t="shared" si="0"/>
        <v>1.0764059142311491</v>
      </c>
      <c r="V13" s="2">
        <f t="shared" si="1"/>
        <v>-0.62685775805497668</v>
      </c>
      <c r="W13" s="5">
        <f t="shared" si="2"/>
        <v>0.49683027423758147</v>
      </c>
      <c r="X13" s="5">
        <f t="shared" si="3"/>
        <v>0.69063244118555156</v>
      </c>
      <c r="Y13" s="5">
        <f t="shared" si="4"/>
        <v>-0.81392413563505717</v>
      </c>
      <c r="Z13" s="5">
        <f t="shared" si="5"/>
        <v>0.93936981618953241</v>
      </c>
      <c r="AA13" s="5">
        <f t="shared" si="6"/>
        <v>-1.7068385638857775</v>
      </c>
      <c r="AB13" s="5">
        <f t="shared" si="7"/>
        <v>0.97988059602341404</v>
      </c>
      <c r="AC13" s="5">
        <f t="shared" si="8"/>
        <v>8.0276210243647714E-2</v>
      </c>
      <c r="AD13" s="5">
        <f t="shared" si="9"/>
        <v>0.3317597579166342</v>
      </c>
      <c r="AE13" s="5">
        <f t="shared" si="10"/>
        <v>0.10595894206370683</v>
      </c>
    </row>
    <row r="14" spans="1:31" ht="16" x14ac:dyDescent="0.2">
      <c r="A14" s="5" t="s">
        <v>34</v>
      </c>
      <c r="D14" s="3">
        <v>14</v>
      </c>
      <c r="E14" s="3" t="s">
        <v>20</v>
      </c>
      <c r="F14" s="4" t="s">
        <v>21</v>
      </c>
      <c r="G14" s="5">
        <v>56.917496867980297</v>
      </c>
      <c r="H14" s="5">
        <v>-11.246153276649601</v>
      </c>
      <c r="I14" s="5">
        <v>91.810668896537095</v>
      </c>
      <c r="J14" s="5">
        <v>-34.893172028556897</v>
      </c>
      <c r="K14" s="5">
        <v>1.7823903295889501</v>
      </c>
      <c r="L14" s="5">
        <v>224.26531091608757</v>
      </c>
      <c r="M14" s="5">
        <v>-34.589308301094036</v>
      </c>
      <c r="N14" s="5">
        <v>91.2820413945566</v>
      </c>
      <c r="O14" s="5">
        <v>180</v>
      </c>
      <c r="P14" s="5">
        <v>6.5716560821540799</v>
      </c>
      <c r="Q14" s="5">
        <v>-62.215366431057198</v>
      </c>
      <c r="R14" s="5">
        <v>8</v>
      </c>
      <c r="S14" s="5">
        <v>0.33314253005151701</v>
      </c>
      <c r="U14" s="3">
        <f t="shared" si="0"/>
        <v>1.1694911263775936</v>
      </c>
      <c r="V14" s="2">
        <f t="shared" si="1"/>
        <v>-0.55064805545250495</v>
      </c>
      <c r="W14" s="5">
        <f t="shared" si="2"/>
        <v>0.42660280548358404</v>
      </c>
      <c r="X14" s="5">
        <f t="shared" si="3"/>
        <v>0.92890434663804444</v>
      </c>
      <c r="Y14" s="5">
        <f t="shared" si="4"/>
        <v>-0.14701138418591267</v>
      </c>
      <c r="Z14" s="5">
        <f t="shared" si="5"/>
        <v>1.1183984884850942</v>
      </c>
      <c r="AA14" s="5">
        <f t="shared" si="6"/>
        <v>0.32470776548858221</v>
      </c>
      <c r="AB14" s="5">
        <f t="shared" si="7"/>
        <v>0.98695323454638761</v>
      </c>
      <c r="AC14" s="5">
        <f t="shared" si="8"/>
        <v>-0.25283203988071656</v>
      </c>
      <c r="AD14" s="5">
        <f t="shared" si="9"/>
        <v>0.38465434233163193</v>
      </c>
      <c r="AE14" s="5">
        <f t="shared" si="10"/>
        <v>-0.74803850143482609</v>
      </c>
    </row>
    <row r="15" spans="1:31" ht="16" x14ac:dyDescent="0.2">
      <c r="A15" s="5" t="s">
        <v>35</v>
      </c>
      <c r="D15" s="5">
        <v>15</v>
      </c>
      <c r="E15" s="5" t="s">
        <v>20</v>
      </c>
      <c r="F15" s="9" t="s">
        <v>21</v>
      </c>
      <c r="G15" s="5">
        <v>38.881516831934697</v>
      </c>
      <c r="H15" s="5">
        <v>-18.940890513284799</v>
      </c>
      <c r="I15" s="5">
        <v>78.065379290015002</v>
      </c>
      <c r="J15" s="5">
        <v>-39.183862458080199</v>
      </c>
      <c r="K15" s="5">
        <v>1.3900854991765399</v>
      </c>
      <c r="L15" s="5">
        <v>179.00570165071758</v>
      </c>
      <c r="M15" s="5">
        <v>-50.121346380618405</v>
      </c>
      <c r="N15" s="5">
        <v>210.35606129360701</v>
      </c>
      <c r="O15" s="5">
        <v>159</v>
      </c>
      <c r="P15" s="5">
        <v>1.64102693892815</v>
      </c>
      <c r="Q15" s="5">
        <v>-84.965738567405097</v>
      </c>
      <c r="R15" s="5">
        <v>6</v>
      </c>
      <c r="S15" s="5">
        <v>0.20029618659755499</v>
      </c>
      <c r="U15" s="3">
        <f t="shared" si="0"/>
        <v>-0.50446079018642809</v>
      </c>
      <c r="V15" s="2">
        <f t="shared" si="1"/>
        <v>-2.0367366938636313</v>
      </c>
      <c r="W15" s="5">
        <f t="shared" si="2"/>
        <v>-0.68113470153278943</v>
      </c>
      <c r="X15" s="5">
        <f t="shared" si="3"/>
        <v>0.38346396788365372</v>
      </c>
      <c r="Y15" s="5">
        <f t="shared" si="4"/>
        <v>-1.1154626334378879</v>
      </c>
      <c r="Z15" s="5">
        <f t="shared" si="5"/>
        <v>0.29703656737357376</v>
      </c>
      <c r="AA15" s="5">
        <f t="shared" si="6"/>
        <v>-1.2460767063921339</v>
      </c>
      <c r="AB15" s="5">
        <f t="shared" si="7"/>
        <v>0.68990241658149787</v>
      </c>
      <c r="AC15" s="5">
        <f t="shared" si="8"/>
        <v>-1.122387756286553</v>
      </c>
      <c r="AD15" s="5">
        <f t="shared" si="9"/>
        <v>-3.4614896070564938</v>
      </c>
      <c r="AE15" s="5">
        <f t="shared" si="10"/>
        <v>-1.0896374788342391</v>
      </c>
    </row>
    <row r="16" spans="1:31" ht="16" x14ac:dyDescent="0.2">
      <c r="A16" s="5" t="s">
        <v>36</v>
      </c>
      <c r="D16" s="3">
        <v>16</v>
      </c>
      <c r="E16" s="3" t="s">
        <v>20</v>
      </c>
      <c r="F16" s="4" t="s">
        <v>21</v>
      </c>
      <c r="G16" s="5">
        <v>47.298563797271896</v>
      </c>
      <c r="H16" s="5">
        <v>-14.156342068703399</v>
      </c>
      <c r="I16" s="5">
        <v>81.057773663191895</v>
      </c>
      <c r="J16" s="5">
        <v>-33.759209865919949</v>
      </c>
      <c r="K16" s="5">
        <v>1.6633547872860499</v>
      </c>
      <c r="L16" s="5">
        <v>141.94701351884021</v>
      </c>
      <c r="M16" s="5">
        <v>-40.004295645521346</v>
      </c>
      <c r="N16" s="5">
        <v>103.16086020013989</v>
      </c>
      <c r="O16" s="5">
        <v>190</v>
      </c>
      <c r="P16" s="5">
        <v>8.0052140549911552</v>
      </c>
      <c r="Q16" s="5">
        <v>-63.858020872813547</v>
      </c>
      <c r="R16" s="5">
        <v>7</v>
      </c>
      <c r="S16" s="5">
        <v>0.40192581291294049</v>
      </c>
      <c r="U16" s="3">
        <f t="shared" si="0"/>
        <v>0.27674055685857396</v>
      </c>
      <c r="V16" s="2">
        <f t="shared" si="1"/>
        <v>-1.1126943432596923</v>
      </c>
      <c r="W16" s="5">
        <f t="shared" si="2"/>
        <v>-0.4399766337260595</v>
      </c>
      <c r="X16" s="5">
        <f t="shared" si="3"/>
        <v>1.0730556811705991</v>
      </c>
      <c r="Y16" s="5">
        <f t="shared" si="4"/>
        <v>-0.44086481323352816</v>
      </c>
      <c r="Z16" s="5">
        <f t="shared" si="5"/>
        <v>-0.37549675255416454</v>
      </c>
      <c r="AA16" s="5">
        <f t="shared" si="6"/>
        <v>-0.22292017570672307</v>
      </c>
      <c r="AB16" s="5">
        <f t="shared" si="7"/>
        <v>1.1284060050058589</v>
      </c>
      <c r="AC16" s="5">
        <f t="shared" si="8"/>
        <v>-1.2674670040037552E-5</v>
      </c>
      <c r="AD16" s="5">
        <f t="shared" si="9"/>
        <v>0.10694963472367466</v>
      </c>
      <c r="AE16" s="5">
        <f t="shared" si="10"/>
        <v>-0.9188379901345326</v>
      </c>
    </row>
    <row r="17" spans="1:31" ht="16" x14ac:dyDescent="0.2">
      <c r="A17" s="5" t="s">
        <v>37</v>
      </c>
      <c r="D17" s="3">
        <v>17</v>
      </c>
      <c r="E17" s="3" t="s">
        <v>20</v>
      </c>
      <c r="F17" s="4" t="s">
        <v>21</v>
      </c>
      <c r="G17" s="5">
        <v>47.848463743941799</v>
      </c>
      <c r="H17" s="5">
        <v>-10.407624111462649</v>
      </c>
      <c r="I17" s="5">
        <v>80.959122964689101</v>
      </c>
      <c r="J17" s="5">
        <v>-33.110659220747294</v>
      </c>
      <c r="K17" s="5">
        <v>1.757840993586345</v>
      </c>
      <c r="L17" s="5">
        <v>161.93848118907059</v>
      </c>
      <c r="M17" s="5">
        <v>-37.190335347334134</v>
      </c>
      <c r="N17" s="5">
        <v>74.331163347384503</v>
      </c>
      <c r="O17" s="5">
        <v>199.5</v>
      </c>
      <c r="P17" s="5">
        <v>7.3616210435288245</v>
      </c>
      <c r="Q17" s="5">
        <v>-62.884821760137697</v>
      </c>
      <c r="R17" s="5">
        <v>10</v>
      </c>
      <c r="S17" s="5">
        <v>0.28211041854299646</v>
      </c>
      <c r="U17" s="3">
        <f t="shared" si="0"/>
        <v>0.3277777651392923</v>
      </c>
      <c r="V17" s="2">
        <f t="shared" si="1"/>
        <v>-0.38870247797030233</v>
      </c>
      <c r="W17" s="5">
        <f t="shared" si="2"/>
        <v>-0.44792692665936057</v>
      </c>
      <c r="X17" s="5">
        <f t="shared" si="3"/>
        <v>1.1555006198942905</v>
      </c>
      <c r="Y17" s="5">
        <f t="shared" si="4"/>
        <v>-0.20761434718036786</v>
      </c>
      <c r="Z17" s="5">
        <f t="shared" si="5"/>
        <v>-1.2695779280560144E-2</v>
      </c>
      <c r="AA17" s="5">
        <f t="shared" si="6"/>
        <v>6.1660966719671063E-2</v>
      </c>
      <c r="AB17" s="5">
        <f t="shared" si="7"/>
        <v>1.2627861369423568</v>
      </c>
      <c r="AC17" s="5">
        <f t="shared" si="8"/>
        <v>-0.11351542774665141</v>
      </c>
      <c r="AD17" s="5">
        <f t="shared" si="9"/>
        <v>0.27147722382573958</v>
      </c>
      <c r="AE17" s="5">
        <f t="shared" si="10"/>
        <v>-0.40643952403541289</v>
      </c>
    </row>
    <row r="18" spans="1:31" ht="16" x14ac:dyDescent="0.2">
      <c r="A18" s="5" t="s">
        <v>38</v>
      </c>
      <c r="D18" s="3">
        <v>18</v>
      </c>
      <c r="E18" s="5" t="s">
        <v>20</v>
      </c>
      <c r="F18" s="9" t="s">
        <v>21</v>
      </c>
      <c r="G18" s="5">
        <v>46.361903209726947</v>
      </c>
      <c r="H18" s="5">
        <v>-12.199774549597301</v>
      </c>
      <c r="I18" s="5">
        <v>81.699002322752563</v>
      </c>
      <c r="J18" s="5">
        <v>-35.337099113025552</v>
      </c>
      <c r="K18" s="5">
        <v>1.6331755551524501</v>
      </c>
      <c r="L18" s="5">
        <v>127.53349334177682</v>
      </c>
      <c r="M18" s="5">
        <v>-40.744548950689399</v>
      </c>
      <c r="N18" s="5">
        <v>113.122963080291</v>
      </c>
      <c r="O18" s="5">
        <v>159</v>
      </c>
      <c r="P18" s="5">
        <v>12.824199730066351</v>
      </c>
      <c r="Q18" s="5">
        <v>-65.746417562675703</v>
      </c>
      <c r="R18" s="5">
        <v>9</v>
      </c>
      <c r="S18" s="5">
        <v>0.34978257480290753</v>
      </c>
      <c r="U18" s="3">
        <f t="shared" si="0"/>
        <v>0.18980739422713985</v>
      </c>
      <c r="V18" s="2">
        <f t="shared" si="1"/>
        <v>-0.73482143207250228</v>
      </c>
      <c r="W18" s="5">
        <f t="shared" si="2"/>
        <v>-0.38829980063611552</v>
      </c>
      <c r="X18" s="5">
        <f t="shared" si="3"/>
        <v>0.87247152747546108</v>
      </c>
      <c r="Y18" s="5">
        <f t="shared" si="4"/>
        <v>-0.51536584609240255</v>
      </c>
      <c r="Z18" s="5">
        <f t="shared" si="5"/>
        <v>-0.63707030156999189</v>
      </c>
      <c r="AA18" s="5">
        <f t="shared" si="6"/>
        <v>-0.29778339655790209</v>
      </c>
      <c r="AB18" s="5">
        <f t="shared" si="7"/>
        <v>0.68990241658149787</v>
      </c>
      <c r="AC18" s="5">
        <f t="shared" si="8"/>
        <v>0.8498538270108924</v>
      </c>
      <c r="AD18" s="5">
        <f t="shared" si="9"/>
        <v>-0.21229989048096337</v>
      </c>
      <c r="AE18" s="5">
        <f t="shared" si="10"/>
        <v>-0.57723901273511946</v>
      </c>
    </row>
    <row r="19" spans="1:31" ht="16" x14ac:dyDescent="0.2">
      <c r="A19" s="5" t="s">
        <v>39</v>
      </c>
      <c r="D19" s="5">
        <v>19</v>
      </c>
      <c r="E19" s="3" t="s">
        <v>20</v>
      </c>
      <c r="F19" s="4" t="s">
        <v>21</v>
      </c>
      <c r="G19" s="5">
        <v>48.551360566389647</v>
      </c>
      <c r="H19" s="5">
        <v>-10.9995271067417</v>
      </c>
      <c r="I19" s="5">
        <v>83.704893810178703</v>
      </c>
      <c r="J19" s="5">
        <v>-35.153533243789056</v>
      </c>
      <c r="K19" s="5">
        <v>1.571157329485785</v>
      </c>
      <c r="L19" s="5">
        <v>180.85912846431597</v>
      </c>
      <c r="M19" s="5">
        <v>-43.441934965277795</v>
      </c>
      <c r="N19" s="5">
        <v>109.5658514959035</v>
      </c>
      <c r="O19" s="5">
        <v>169.5</v>
      </c>
      <c r="P19" s="5">
        <v>6.9892569208184803</v>
      </c>
      <c r="Q19" s="5">
        <v>-63.216443503170851</v>
      </c>
      <c r="R19" s="5">
        <v>11</v>
      </c>
      <c r="S19" s="5">
        <v>0.46855647009380647</v>
      </c>
      <c r="U19" s="3">
        <f t="shared" si="0"/>
        <v>0.39301489008242396</v>
      </c>
      <c r="V19" s="2">
        <f t="shared" si="1"/>
        <v>-0.50301701390244269</v>
      </c>
      <c r="W19" s="5">
        <f t="shared" si="2"/>
        <v>-0.22664433180027038</v>
      </c>
      <c r="X19" s="5">
        <f t="shared" si="3"/>
        <v>0.8958067549609493</v>
      </c>
      <c r="Y19" s="5">
        <f t="shared" si="4"/>
        <v>-0.6684652307217811</v>
      </c>
      <c r="Z19" s="5">
        <f t="shared" si="5"/>
        <v>0.3306721694692723</v>
      </c>
      <c r="AA19" s="5">
        <f t="shared" si="6"/>
        <v>-0.57057516056788393</v>
      </c>
      <c r="AB19" s="5">
        <f t="shared" si="7"/>
        <v>0.83842782556394269</v>
      </c>
      <c r="AC19" s="5">
        <f t="shared" si="8"/>
        <v>-0.17918480625427516</v>
      </c>
      <c r="AD19" s="5">
        <f t="shared" si="9"/>
        <v>0.21541374702595936</v>
      </c>
      <c r="AE19" s="5">
        <f t="shared" si="10"/>
        <v>-0.23564003533570632</v>
      </c>
    </row>
    <row r="20" spans="1:31" ht="16" x14ac:dyDescent="0.2">
      <c r="A20" s="5" t="s">
        <v>40</v>
      </c>
      <c r="D20" s="3">
        <v>20</v>
      </c>
      <c r="E20" s="3" t="s">
        <v>20</v>
      </c>
      <c r="F20" s="4" t="s">
        <v>21</v>
      </c>
      <c r="G20" s="5">
        <v>45.737117274389803</v>
      </c>
      <c r="H20" s="5">
        <v>-13.1205121348228</v>
      </c>
      <c r="I20" s="5">
        <v>79.479367239471003</v>
      </c>
      <c r="J20" s="5">
        <v>-33.7422499650812</v>
      </c>
      <c r="K20" s="5">
        <v>1.4614648619281401</v>
      </c>
      <c r="L20" s="5">
        <v>141.9250926816888</v>
      </c>
      <c r="M20" s="5">
        <v>-44.422591223588803</v>
      </c>
      <c r="N20" s="5">
        <v>93.092353604776093</v>
      </c>
      <c r="O20" s="5">
        <v>200</v>
      </c>
      <c r="P20" s="5">
        <v>5.6466141288548402</v>
      </c>
      <c r="Q20" s="5">
        <v>-65.316641174808794</v>
      </c>
      <c r="R20" s="5">
        <v>9</v>
      </c>
      <c r="S20" s="5">
        <v>0.35565862708719898</v>
      </c>
      <c r="U20" s="3">
        <f t="shared" si="0"/>
        <v>0.13181988194282473</v>
      </c>
      <c r="V20" s="2">
        <f t="shared" si="1"/>
        <v>-0.91264396483517374</v>
      </c>
      <c r="W20" s="5">
        <f t="shared" si="2"/>
        <v>-0.56718093766750377</v>
      </c>
      <c r="X20" s="5">
        <f t="shared" si="3"/>
        <v>1.0752116546413191</v>
      </c>
      <c r="Y20" s="5">
        <f t="shared" si="4"/>
        <v>-0.93925416576511689</v>
      </c>
      <c r="Z20" s="5">
        <f t="shared" si="5"/>
        <v>-0.37589456732117876</v>
      </c>
      <c r="AA20" s="5">
        <f t="shared" si="6"/>
        <v>-0.66975078806253063</v>
      </c>
      <c r="AB20" s="5">
        <f t="shared" si="7"/>
        <v>1.2698587754653303</v>
      </c>
      <c r="AC20" s="5">
        <f t="shared" si="8"/>
        <v>-0.41597055527924059</v>
      </c>
      <c r="AD20" s="5">
        <f t="shared" si="9"/>
        <v>-0.13964253596045187</v>
      </c>
      <c r="AE20" s="5">
        <f t="shared" si="10"/>
        <v>-0.57723901273511946</v>
      </c>
    </row>
    <row r="21" spans="1:31" ht="16" x14ac:dyDescent="0.2">
      <c r="A21" s="2" t="s">
        <v>41</v>
      </c>
      <c r="D21" s="3">
        <v>21</v>
      </c>
      <c r="E21" s="5" t="s">
        <v>20</v>
      </c>
      <c r="F21" s="9" t="s">
        <v>21</v>
      </c>
      <c r="G21" s="5">
        <v>44.737463487390961</v>
      </c>
      <c r="H21" s="5">
        <v>-13.482230658348366</v>
      </c>
      <c r="I21" s="5">
        <v>79.863008390434231</v>
      </c>
      <c r="J21" s="5">
        <v>-35.12554490304327</v>
      </c>
      <c r="K21" s="5">
        <v>1.4569796444750833</v>
      </c>
      <c r="L21" s="5">
        <v>140.40514563374012</v>
      </c>
      <c r="M21" s="5">
        <v>-52.547108859694795</v>
      </c>
      <c r="N21" s="5">
        <v>124.38224672270127</v>
      </c>
      <c r="O21" s="5">
        <v>39.333333333333336</v>
      </c>
      <c r="P21" s="5">
        <v>3.6355612926242968</v>
      </c>
      <c r="Q21" s="5">
        <v>-48.905725398317365</v>
      </c>
      <c r="R21" s="5">
        <v>12</v>
      </c>
      <c r="S21" s="5">
        <v>0.23684527291373869</v>
      </c>
      <c r="U21" s="3">
        <f t="shared" si="0"/>
        <v>3.904020657708946E-2</v>
      </c>
      <c r="V21" s="2">
        <f t="shared" si="1"/>
        <v>-0.9825028530055061</v>
      </c>
      <c r="W21" s="5">
        <f t="shared" si="2"/>
        <v>-0.53626316843001531</v>
      </c>
      <c r="X21" s="5">
        <f t="shared" si="3"/>
        <v>0.89936468379031587</v>
      </c>
      <c r="Y21" s="5">
        <f t="shared" si="4"/>
        <v>-0.95032645983045694</v>
      </c>
      <c r="Z21" s="5">
        <f t="shared" si="5"/>
        <v>-0.40347824839034196</v>
      </c>
      <c r="AA21" s="5">
        <f t="shared" si="6"/>
        <v>-1.4913986670450108</v>
      </c>
      <c r="AB21" s="5">
        <f t="shared" si="7"/>
        <v>-1.0028157365835091</v>
      </c>
      <c r="AC21" s="5">
        <f t="shared" si="8"/>
        <v>-0.7706357387560725</v>
      </c>
      <c r="AD21" s="5">
        <f t="shared" si="9"/>
        <v>2.6347623853914435</v>
      </c>
      <c r="AE21" s="5">
        <f t="shared" si="10"/>
        <v>-6.4840546635999738E-2</v>
      </c>
    </row>
    <row r="22" spans="1:31" ht="16" x14ac:dyDescent="0.2">
      <c r="A22" s="5" t="s">
        <v>42</v>
      </c>
      <c r="D22" s="3">
        <v>22</v>
      </c>
      <c r="E22" s="3" t="s">
        <v>20</v>
      </c>
      <c r="F22" s="4" t="s">
        <v>21</v>
      </c>
      <c r="G22" s="5">
        <v>42.002344959995554</v>
      </c>
      <c r="H22" s="5">
        <v>-10.30897391070145</v>
      </c>
      <c r="I22" s="5">
        <v>85.20109238321146</v>
      </c>
      <c r="J22" s="5">
        <v>-43.198747423215949</v>
      </c>
      <c r="K22" s="5">
        <v>1.4742293377561348</v>
      </c>
      <c r="L22" s="5">
        <v>183.56990814484919</v>
      </c>
      <c r="M22" s="5">
        <v>-46.129732876716204</v>
      </c>
      <c r="N22" s="5">
        <v>82.652646442010308</v>
      </c>
      <c r="O22" s="5">
        <v>240</v>
      </c>
      <c r="P22" s="5">
        <v>4.2896699408536207</v>
      </c>
      <c r="Q22" s="5">
        <v>-64.288786837172438</v>
      </c>
      <c r="R22" s="5">
        <v>7</v>
      </c>
      <c r="S22" s="5">
        <v>0.20279933695621899</v>
      </c>
      <c r="U22" s="3">
        <f t="shared" si="0"/>
        <v>-0.21481108910038879</v>
      </c>
      <c r="V22" s="2">
        <f t="shared" si="1"/>
        <v>-0.36965011295513228</v>
      </c>
      <c r="W22" s="5">
        <f t="shared" si="2"/>
        <v>-0.10606518616289265</v>
      </c>
      <c r="X22" s="5">
        <f t="shared" si="3"/>
        <v>-0.12691551812420743</v>
      </c>
      <c r="Y22" s="5">
        <f t="shared" si="4"/>
        <v>-0.90774353524682105</v>
      </c>
      <c r="Z22" s="5">
        <f t="shared" si="5"/>
        <v>0.37986683204486049</v>
      </c>
      <c r="AA22" s="5">
        <f t="shared" si="6"/>
        <v>-0.84239726151976113</v>
      </c>
      <c r="AB22" s="5">
        <f t="shared" si="7"/>
        <v>1.8356698573032153</v>
      </c>
      <c r="AC22" s="5">
        <f t="shared" si="8"/>
        <v>-0.65527846939020651</v>
      </c>
      <c r="AD22" s="5">
        <f t="shared" si="9"/>
        <v>3.4124983878765412E-2</v>
      </c>
      <c r="AE22" s="5">
        <f t="shared" si="10"/>
        <v>-0.9188379901345326</v>
      </c>
    </row>
    <row r="23" spans="1:31" ht="16" x14ac:dyDescent="0.2">
      <c r="A23" s="5" t="s">
        <v>43</v>
      </c>
      <c r="D23" s="5">
        <v>23</v>
      </c>
      <c r="E23" s="3" t="s">
        <v>20</v>
      </c>
      <c r="F23" s="4" t="s">
        <v>21</v>
      </c>
      <c r="G23" s="5">
        <v>47.723805459602701</v>
      </c>
      <c r="H23" s="5">
        <v>-12.0024742624274</v>
      </c>
      <c r="I23" s="5">
        <v>90.5939848728394</v>
      </c>
      <c r="J23" s="5">
        <v>-42.870179413236698</v>
      </c>
      <c r="K23" s="5">
        <v>1.72317811157135</v>
      </c>
      <c r="L23" s="5">
        <v>173.57779077787359</v>
      </c>
      <c r="M23" s="5">
        <v>-39.854777467573356</v>
      </c>
      <c r="N23" s="5">
        <v>107.360874244144</v>
      </c>
      <c r="O23" s="5">
        <v>180</v>
      </c>
      <c r="P23" s="5">
        <v>6.4531671454958897</v>
      </c>
      <c r="Q23" s="5">
        <v>-71.208140928880198</v>
      </c>
      <c r="R23" s="5">
        <v>15</v>
      </c>
      <c r="S23" s="5">
        <v>0.48595271210014002</v>
      </c>
      <c r="U23" s="3">
        <f t="shared" si="0"/>
        <v>0.31620800438506785</v>
      </c>
      <c r="V23" s="2">
        <f t="shared" si="1"/>
        <v>-0.69671672412712005</v>
      </c>
      <c r="W23" s="5">
        <f t="shared" si="2"/>
        <v>0.32854983127793147</v>
      </c>
      <c r="X23" s="5">
        <f t="shared" si="3"/>
        <v>-8.5147354525984514E-2</v>
      </c>
      <c r="Y23" s="5">
        <f t="shared" si="4"/>
        <v>-0.29318380436703068</v>
      </c>
      <c r="Z23" s="5">
        <f t="shared" si="5"/>
        <v>0.19853197631532818</v>
      </c>
      <c r="AA23" s="5">
        <f t="shared" si="6"/>
        <v>-0.20779911876737572</v>
      </c>
      <c r="AB23" s="5">
        <f t="shared" si="7"/>
        <v>0.98695323454638761</v>
      </c>
      <c r="AC23" s="5">
        <f t="shared" si="8"/>
        <v>-0.2737285074934821</v>
      </c>
      <c r="AD23" s="5">
        <f t="shared" si="9"/>
        <v>-1.1356506889761364</v>
      </c>
      <c r="AE23" s="5">
        <f t="shared" si="10"/>
        <v>0.44755791946311996</v>
      </c>
    </row>
    <row r="24" spans="1:31" ht="16" x14ac:dyDescent="0.2">
      <c r="A24" s="5" t="s">
        <v>44</v>
      </c>
      <c r="D24" s="3">
        <v>24</v>
      </c>
      <c r="E24" s="5" t="s">
        <v>20</v>
      </c>
      <c r="F24" s="9" t="s">
        <v>21</v>
      </c>
      <c r="G24" s="5">
        <v>51.368202271862998</v>
      </c>
      <c r="H24" s="5">
        <v>-10.9173190881205</v>
      </c>
      <c r="I24" s="5">
        <v>94.967486891679002</v>
      </c>
      <c r="J24" s="5">
        <v>-43.599284619815997</v>
      </c>
      <c r="K24" s="5">
        <v>1.50527403166077</v>
      </c>
      <c r="L24" s="5">
        <v>209.79659133925799</v>
      </c>
      <c r="M24" s="5">
        <v>-47.968775546493596</v>
      </c>
      <c r="N24" s="5">
        <v>120.348180108224</v>
      </c>
      <c r="O24" s="5">
        <v>120</v>
      </c>
      <c r="P24" s="5">
        <v>2.7081838773561402</v>
      </c>
      <c r="Q24" s="5">
        <v>-66.415122873002403</v>
      </c>
      <c r="R24" s="5">
        <v>15</v>
      </c>
      <c r="S24" s="5">
        <v>0.73999327278842997</v>
      </c>
      <c r="U24" s="3">
        <f t="shared" si="0"/>
        <v>0.65445106167448386</v>
      </c>
      <c r="V24" s="2">
        <f t="shared" si="1"/>
        <v>-0.48714013614791668</v>
      </c>
      <c r="W24" s="5">
        <f t="shared" si="2"/>
        <v>0.68101182822135475</v>
      </c>
      <c r="X24" s="5">
        <f t="shared" si="3"/>
        <v>-0.17783253574811095</v>
      </c>
      <c r="Y24" s="5">
        <f t="shared" si="4"/>
        <v>-0.83110600681521085</v>
      </c>
      <c r="Z24" s="5">
        <f t="shared" si="5"/>
        <v>0.85582319230944648</v>
      </c>
      <c r="AA24" s="5">
        <f t="shared" si="6"/>
        <v>-1.0283831349783485</v>
      </c>
      <c r="AB24" s="5">
        <f t="shared" si="7"/>
        <v>0.13823661178955968</v>
      </c>
      <c r="AC24" s="5">
        <f t="shared" si="8"/>
        <v>-0.93418613147218199</v>
      </c>
      <c r="AD24" s="5">
        <f t="shared" si="9"/>
        <v>-0.32535021193603997</v>
      </c>
      <c r="AE24" s="5">
        <f t="shared" si="10"/>
        <v>0.44755791946311996</v>
      </c>
    </row>
    <row r="25" spans="1:31" ht="16" x14ac:dyDescent="0.2">
      <c r="A25" s="5" t="s">
        <v>45</v>
      </c>
      <c r="D25" s="3">
        <v>25</v>
      </c>
      <c r="E25" s="3" t="s">
        <v>20</v>
      </c>
      <c r="F25" s="4" t="s">
        <v>21</v>
      </c>
      <c r="G25" s="5">
        <v>35.713134706061254</v>
      </c>
      <c r="H25" s="5">
        <v>-13.547997916469601</v>
      </c>
      <c r="I25" s="5">
        <v>74.694824864915205</v>
      </c>
      <c r="J25" s="5">
        <v>-38.981690158853894</v>
      </c>
      <c r="K25" s="5">
        <v>1.6493182365264252</v>
      </c>
      <c r="L25" s="5">
        <v>129.6234841611232</v>
      </c>
      <c r="M25" s="5">
        <v>-46.364060210303521</v>
      </c>
      <c r="N25" s="5">
        <v>148.025136317472</v>
      </c>
      <c r="O25" s="5">
        <v>49.5</v>
      </c>
      <c r="P25" s="5">
        <v>1.2276829652877581</v>
      </c>
      <c r="Q25" s="5">
        <v>-53.371016018642152</v>
      </c>
      <c r="R25" s="5">
        <v>11</v>
      </c>
      <c r="S25" s="5">
        <v>0.67191011235955145</v>
      </c>
      <c r="U25" s="3">
        <f t="shared" si="0"/>
        <v>-0.7985240637880483</v>
      </c>
      <c r="V25" s="2">
        <f t="shared" si="1"/>
        <v>-0.99520451806147348</v>
      </c>
      <c r="W25" s="5">
        <f t="shared" si="2"/>
        <v>-0.95276881496401411</v>
      </c>
      <c r="X25" s="5">
        <f t="shared" si="3"/>
        <v>0.40916447862310906</v>
      </c>
      <c r="Y25" s="5">
        <f t="shared" si="4"/>
        <v>-0.47551571239288071</v>
      </c>
      <c r="Z25" s="5">
        <f t="shared" si="5"/>
        <v>-0.59914158538469198</v>
      </c>
      <c r="AA25" s="5">
        <f t="shared" si="6"/>
        <v>-0.86609522923343807</v>
      </c>
      <c r="AB25" s="5">
        <f t="shared" si="7"/>
        <v>-0.85900541994971313</v>
      </c>
      <c r="AC25" s="5">
        <f t="shared" si="8"/>
        <v>-1.1952842578647973</v>
      </c>
      <c r="AD25" s="5">
        <f t="shared" si="9"/>
        <v>1.8798670193423375</v>
      </c>
      <c r="AE25" s="5">
        <f t="shared" si="10"/>
        <v>-0.23564003533570632</v>
      </c>
    </row>
    <row r="26" spans="1:31" ht="16" x14ac:dyDescent="0.2">
      <c r="A26" s="2" t="s">
        <v>46</v>
      </c>
      <c r="D26" s="3">
        <v>26</v>
      </c>
      <c r="E26" s="3" t="s">
        <v>20</v>
      </c>
      <c r="F26" s="4" t="s">
        <v>21</v>
      </c>
      <c r="G26" s="5">
        <v>52.741296324746244</v>
      </c>
      <c r="H26" s="5">
        <v>-12.594377109363098</v>
      </c>
      <c r="I26" s="5">
        <v>94.753743632841406</v>
      </c>
      <c r="J26" s="5">
        <v>-42.012447308095105</v>
      </c>
      <c r="K26" s="5">
        <v>1.412319471012415</v>
      </c>
      <c r="L26" s="5">
        <v>261.281154840689</v>
      </c>
      <c r="M26" s="5">
        <v>-53.344310825816009</v>
      </c>
      <c r="N26" s="5">
        <v>71.861138323265493</v>
      </c>
      <c r="O26" s="5">
        <v>190</v>
      </c>
      <c r="P26" s="5">
        <v>3.3109992628939553</v>
      </c>
      <c r="Q26" s="5">
        <v>-68.116078131490752</v>
      </c>
      <c r="R26" s="5">
        <v>15</v>
      </c>
      <c r="S26" s="5">
        <v>0.68408252314271745</v>
      </c>
      <c r="U26" s="3">
        <f t="shared" si="0"/>
        <v>0.78189040330454451</v>
      </c>
      <c r="V26" s="2">
        <f t="shared" si="1"/>
        <v>-0.81103123140963074</v>
      </c>
      <c r="W26" s="5">
        <f t="shared" si="2"/>
        <v>0.6637861871861912</v>
      </c>
      <c r="X26" s="5">
        <f t="shared" si="3"/>
        <v>2.3889112211190253E-2</v>
      </c>
      <c r="Y26" s="5">
        <f t="shared" si="4"/>
        <v>-1.0605754229550337</v>
      </c>
      <c r="Z26" s="5">
        <f t="shared" si="5"/>
        <v>1.7901542807017483</v>
      </c>
      <c r="AA26" s="5">
        <f t="shared" si="6"/>
        <v>-1.572021213997608</v>
      </c>
      <c r="AB26" s="5">
        <f t="shared" si="7"/>
        <v>1.1284060050058589</v>
      </c>
      <c r="AC26" s="5">
        <f t="shared" si="8"/>
        <v>-0.82787483747596735</v>
      </c>
      <c r="AD26" s="5">
        <f t="shared" si="9"/>
        <v>-0.61291116858354222</v>
      </c>
      <c r="AE26" s="5">
        <f t="shared" si="10"/>
        <v>0.44755791946311996</v>
      </c>
    </row>
    <row r="27" spans="1:31" ht="16" x14ac:dyDescent="0.2">
      <c r="A27" s="5" t="s">
        <v>47</v>
      </c>
      <c r="D27" s="5">
        <v>27</v>
      </c>
      <c r="E27" s="5" t="s">
        <v>20</v>
      </c>
      <c r="F27" s="9" t="s">
        <v>21</v>
      </c>
      <c r="G27" s="5">
        <v>51.6890253156405</v>
      </c>
      <c r="H27" s="5">
        <v>-11.1475034662044</v>
      </c>
      <c r="I27" s="5">
        <v>94.046749261931893</v>
      </c>
      <c r="J27" s="5">
        <v>-42.357723946291401</v>
      </c>
      <c r="K27" s="5">
        <v>1.4713165085941899</v>
      </c>
      <c r="L27" s="5">
        <v>267.74458548147879</v>
      </c>
      <c r="M27" s="5">
        <v>-48.835464975078402</v>
      </c>
      <c r="N27" s="5">
        <v>100.23872884583101</v>
      </c>
      <c r="O27" s="5">
        <v>159</v>
      </c>
      <c r="P27" s="5">
        <v>9.4941511540537995</v>
      </c>
      <c r="Q27" s="5">
        <v>-65.457515254812606</v>
      </c>
      <c r="R27" s="5">
        <v>18</v>
      </c>
      <c r="S27" s="5">
        <v>0.60397396368619405</v>
      </c>
      <c r="U27" s="3">
        <f t="shared" si="0"/>
        <v>0.68422722842206019</v>
      </c>
      <c r="V27" s="2">
        <f t="shared" si="1"/>
        <v>-0.53159576581926837</v>
      </c>
      <c r="W27" s="5">
        <f t="shared" si="2"/>
        <v>0.60680927332514711</v>
      </c>
      <c r="X27" s="5">
        <f t="shared" si="3"/>
        <v>-2.0003082624631005E-2</v>
      </c>
      <c r="Y27" s="5">
        <f t="shared" si="4"/>
        <v>-0.91493420133619241</v>
      </c>
      <c r="Z27" s="5">
        <f t="shared" si="5"/>
        <v>1.9074512678887801</v>
      </c>
      <c r="AA27" s="5">
        <f t="shared" si="6"/>
        <v>-1.1160330808124934</v>
      </c>
      <c r="AB27" s="5">
        <f t="shared" si="7"/>
        <v>0.68990241658149787</v>
      </c>
      <c r="AC27" s="5">
        <f t="shared" si="8"/>
        <v>0.26257324048389541</v>
      </c>
      <c r="AD27" s="5">
        <f t="shared" si="9"/>
        <v>-0.1634584976152777</v>
      </c>
      <c r="AE27" s="5">
        <f t="shared" si="10"/>
        <v>0.95995638556223972</v>
      </c>
    </row>
    <row r="28" spans="1:31" ht="16" x14ac:dyDescent="0.2">
      <c r="A28" s="5" t="s">
        <v>48</v>
      </c>
      <c r="D28" s="3">
        <v>28</v>
      </c>
      <c r="E28" s="3" t="s">
        <v>20</v>
      </c>
      <c r="F28" s="4" t="s">
        <v>21</v>
      </c>
      <c r="G28" s="5">
        <v>44.394266952669952</v>
      </c>
      <c r="H28" s="5">
        <v>-11.344804469929649</v>
      </c>
      <c r="I28" s="5">
        <v>94.457792918538843</v>
      </c>
      <c r="J28" s="5">
        <v>-50.063525965868905</v>
      </c>
      <c r="K28" s="5">
        <v>1.3479272594314948</v>
      </c>
      <c r="L28" s="5">
        <v>271.54445200397817</v>
      </c>
      <c r="M28" s="5">
        <v>-56.154467636370597</v>
      </c>
      <c r="N28" s="5">
        <v>68.883158227894398</v>
      </c>
      <c r="O28" s="5">
        <v>120</v>
      </c>
      <c r="P28" s="5">
        <v>5.7328291760116006</v>
      </c>
      <c r="Q28" s="5">
        <v>-63.902721173797353</v>
      </c>
      <c r="R28" s="5">
        <v>17</v>
      </c>
      <c r="S28" s="5">
        <v>0.49141161841429604</v>
      </c>
      <c r="U28" s="3">
        <f t="shared" si="0"/>
        <v>7.1875156833195999E-3</v>
      </c>
      <c r="V28" s="2">
        <f t="shared" si="1"/>
        <v>-0.56970061215336087</v>
      </c>
      <c r="W28" s="5">
        <f t="shared" si="2"/>
        <v>0.63993541969812895</v>
      </c>
      <c r="X28" s="5">
        <f t="shared" si="3"/>
        <v>-0.99957866403791518</v>
      </c>
      <c r="Y28" s="5">
        <f t="shared" si="4"/>
        <v>-1.2195352748693802</v>
      </c>
      <c r="Z28" s="5">
        <f t="shared" si="5"/>
        <v>1.9764104506468048</v>
      </c>
      <c r="AA28" s="5">
        <f t="shared" si="6"/>
        <v>-1.8562177025053261</v>
      </c>
      <c r="AB28" s="5">
        <f t="shared" si="7"/>
        <v>0.13823661178955968</v>
      </c>
      <c r="AC28" s="5">
        <f t="shared" si="8"/>
        <v>-0.40076584510582236</v>
      </c>
      <c r="AD28" s="5">
        <f t="shared" si="9"/>
        <v>9.9392668572338083E-2</v>
      </c>
      <c r="AE28" s="5">
        <f t="shared" si="10"/>
        <v>0.7891568968625331</v>
      </c>
    </row>
    <row r="29" spans="1:31" ht="16" x14ac:dyDescent="0.2">
      <c r="A29" s="5" t="s">
        <v>49</v>
      </c>
      <c r="D29" s="3">
        <v>29</v>
      </c>
      <c r="E29" s="3" t="s">
        <v>20</v>
      </c>
      <c r="F29" s="4" t="s">
        <v>21</v>
      </c>
      <c r="G29" s="5">
        <v>48.811721710321152</v>
      </c>
      <c r="H29" s="5">
        <v>-12.084683253534951</v>
      </c>
      <c r="I29" s="5">
        <v>93.701474381553552</v>
      </c>
      <c r="J29" s="5">
        <v>-44.8897526712325</v>
      </c>
      <c r="K29" s="5">
        <v>1.295847516292985</v>
      </c>
      <c r="L29" s="5">
        <v>275.16072962414717</v>
      </c>
      <c r="M29" s="5">
        <v>-62.721405963944001</v>
      </c>
      <c r="N29" s="5">
        <v>128.57823942266549</v>
      </c>
      <c r="O29" s="5">
        <v>49</v>
      </c>
      <c r="P29" s="5">
        <v>6.4989535029943699</v>
      </c>
      <c r="Q29" s="5">
        <v>-58.499584174807055</v>
      </c>
      <c r="R29" s="5">
        <v>23</v>
      </c>
      <c r="S29" s="5">
        <v>0.1967512757833795</v>
      </c>
      <c r="U29" s="3">
        <f t="shared" si="0"/>
        <v>0.41717947858894905</v>
      </c>
      <c r="V29" s="2">
        <f t="shared" si="1"/>
        <v>-0.71259378969844511</v>
      </c>
      <c r="W29" s="5">
        <f t="shared" si="2"/>
        <v>0.57898345472295509</v>
      </c>
      <c r="X29" s="5">
        <f t="shared" si="3"/>
        <v>-0.34187918378681809</v>
      </c>
      <c r="Y29" s="5">
        <f t="shared" si="4"/>
        <v>-1.3481003303905941</v>
      </c>
      <c r="Z29" s="5">
        <f t="shared" si="5"/>
        <v>2.042037900410214</v>
      </c>
      <c r="AA29" s="5">
        <f t="shared" si="6"/>
        <v>-2.5203446316266911</v>
      </c>
      <c r="AB29" s="5">
        <f t="shared" si="7"/>
        <v>-0.86607805847268671</v>
      </c>
      <c r="AC29" s="5">
        <f t="shared" si="8"/>
        <v>-0.26565371871101934</v>
      </c>
      <c r="AD29" s="5">
        <f t="shared" si="9"/>
        <v>1.0128389432897438</v>
      </c>
      <c r="AE29" s="5">
        <f t="shared" si="10"/>
        <v>1.8139538290607726</v>
      </c>
    </row>
    <row r="30" spans="1:31" ht="16" x14ac:dyDescent="0.2">
      <c r="A30" s="5" t="s">
        <v>50</v>
      </c>
      <c r="D30" s="3">
        <v>30</v>
      </c>
      <c r="E30" s="5" t="s">
        <v>20</v>
      </c>
      <c r="F30" s="9" t="s">
        <v>21</v>
      </c>
      <c r="G30" s="5">
        <v>50.390128270045949</v>
      </c>
      <c r="H30" s="5">
        <v>-12.528610560894849</v>
      </c>
      <c r="I30" s="5">
        <v>96.397919613186048</v>
      </c>
      <c r="J30" s="5">
        <v>-46.007791343140148</v>
      </c>
      <c r="K30" s="5">
        <v>1.3309431872597601</v>
      </c>
      <c r="L30" s="5">
        <v>273.66361765635503</v>
      </c>
      <c r="M30" s="5">
        <v>-58.646113143898198</v>
      </c>
      <c r="N30" s="5">
        <v>97.384120123497098</v>
      </c>
      <c r="O30" s="5">
        <v>99.5</v>
      </c>
      <c r="P30" s="5">
        <v>6.8906912479665801</v>
      </c>
      <c r="Q30" s="5">
        <v>-65.754465513365744</v>
      </c>
      <c r="R30" s="5">
        <v>20</v>
      </c>
      <c r="S30" s="5">
        <v>0.46147968637945547</v>
      </c>
      <c r="U30" s="3">
        <f t="shared" si="0"/>
        <v>0.56367424518816112</v>
      </c>
      <c r="V30" s="2">
        <f t="shared" si="1"/>
        <v>-0.79832970340931697</v>
      </c>
      <c r="W30" s="5">
        <f t="shared" si="2"/>
        <v>0.79629088179073171</v>
      </c>
      <c r="X30" s="5">
        <f t="shared" si="3"/>
        <v>-0.48400629518858734</v>
      </c>
      <c r="Y30" s="5">
        <f t="shared" si="4"/>
        <v>-1.261462482074071</v>
      </c>
      <c r="Z30" s="5">
        <f t="shared" si="5"/>
        <v>2.0148686255988721</v>
      </c>
      <c r="AA30" s="5">
        <f t="shared" si="6"/>
        <v>-2.1082025387912511</v>
      </c>
      <c r="AB30" s="5">
        <f t="shared" si="7"/>
        <v>-0.15174156765235655</v>
      </c>
      <c r="AC30" s="5">
        <f t="shared" si="8"/>
        <v>-0.19656764762808035</v>
      </c>
      <c r="AD30" s="5">
        <f t="shared" si="9"/>
        <v>-0.21366046500985311</v>
      </c>
      <c r="AE30" s="5">
        <f t="shared" si="10"/>
        <v>1.3015553629616528</v>
      </c>
    </row>
    <row r="31" spans="1:31" ht="16" x14ac:dyDescent="0.2">
      <c r="A31" s="5" t="s">
        <v>51</v>
      </c>
      <c r="D31" s="5">
        <v>31</v>
      </c>
      <c r="E31" s="3" t="s">
        <v>20</v>
      </c>
      <c r="F31" s="4" t="s">
        <v>21</v>
      </c>
      <c r="G31" s="5">
        <v>38.454379208066996</v>
      </c>
      <c r="H31" s="5">
        <v>-10.588483761618651</v>
      </c>
      <c r="I31" s="5">
        <v>85.875204720177891</v>
      </c>
      <c r="J31" s="5">
        <v>-47.420825512110902</v>
      </c>
      <c r="K31" s="5">
        <v>2.0675299743675701</v>
      </c>
      <c r="L31" s="5">
        <v>143.7035438236538</v>
      </c>
      <c r="M31" s="5">
        <v>-29.385439985244801</v>
      </c>
      <c r="N31" s="5">
        <v>69.816935387872505</v>
      </c>
      <c r="O31" s="5">
        <v>289.5</v>
      </c>
      <c r="P31" s="5">
        <v>1.2670549696194868</v>
      </c>
      <c r="Q31" s="5">
        <v>-70.22481388074435</v>
      </c>
      <c r="R31" s="5">
        <v>5</v>
      </c>
      <c r="S31" s="5">
        <v>0.52505905292334598</v>
      </c>
      <c r="U31" s="3">
        <f t="shared" si="0"/>
        <v>-0.54410420533109827</v>
      </c>
      <c r="V31" s="2">
        <f t="shared" si="1"/>
        <v>-0.42363199706605459</v>
      </c>
      <c r="W31" s="5">
        <f t="shared" si="2"/>
        <v>-5.1738246463793831E-2</v>
      </c>
      <c r="X31" s="5">
        <f t="shared" si="3"/>
        <v>-0.66363377122673428</v>
      </c>
      <c r="Y31" s="5">
        <f t="shared" si="4"/>
        <v>0.55688982678521681</v>
      </c>
      <c r="Z31" s="5">
        <f t="shared" si="5"/>
        <v>-0.34361960803015723</v>
      </c>
      <c r="AA31" s="5">
        <f t="shared" si="6"/>
        <v>0.85098483887690246</v>
      </c>
      <c r="AB31" s="5">
        <f t="shared" si="7"/>
        <v>2.5358610710775986</v>
      </c>
      <c r="AC31" s="5">
        <f t="shared" si="8"/>
        <v>-1.1883406913465069</v>
      </c>
      <c r="AD31" s="5">
        <f t="shared" si="9"/>
        <v>-0.96941088622517779</v>
      </c>
      <c r="AE31" s="5">
        <f t="shared" si="10"/>
        <v>-1.2604369675339457</v>
      </c>
    </row>
    <row r="32" spans="1:31" ht="16" x14ac:dyDescent="0.2">
      <c r="A32" s="5" t="s">
        <v>52</v>
      </c>
      <c r="D32" s="3">
        <v>32</v>
      </c>
      <c r="E32" s="3" t="s">
        <v>20</v>
      </c>
      <c r="F32" s="4" t="s">
        <v>21</v>
      </c>
      <c r="G32" s="5">
        <v>43.665458630011301</v>
      </c>
      <c r="H32" s="5">
        <v>-11.5421047070485</v>
      </c>
      <c r="I32" s="5">
        <v>78.723048097036994</v>
      </c>
      <c r="J32" s="5">
        <v>-35.057589467025799</v>
      </c>
      <c r="K32" s="5">
        <v>1.9457120995656101</v>
      </c>
      <c r="L32" s="5">
        <v>112.53457504894479</v>
      </c>
      <c r="M32" s="5">
        <v>-31.330948899457439</v>
      </c>
      <c r="N32" s="5">
        <v>124.558274218034</v>
      </c>
      <c r="O32" s="5">
        <v>79</v>
      </c>
      <c r="P32" s="5">
        <v>1.0877856877436101</v>
      </c>
      <c r="Q32" s="5">
        <v>-52.606757435354801</v>
      </c>
      <c r="R32" s="5">
        <v>5</v>
      </c>
      <c r="S32" s="12" t="s">
        <v>53</v>
      </c>
      <c r="U32" s="3">
        <f t="shared" si="0"/>
        <v>-6.0454502442895956E-2</v>
      </c>
      <c r="V32" s="2">
        <f t="shared" si="1"/>
        <v>-0.60780531043235764</v>
      </c>
      <c r="W32" s="5">
        <f t="shared" si="2"/>
        <v>-0.62813295143599335</v>
      </c>
      <c r="X32" s="5">
        <f t="shared" si="3"/>
        <v>0.9080033025321268</v>
      </c>
      <c r="Y32" s="5">
        <f t="shared" si="4"/>
        <v>0.25616787821996934</v>
      </c>
      <c r="Z32" s="5">
        <f t="shared" si="5"/>
        <v>-0.90926753313163144</v>
      </c>
      <c r="AA32" s="5">
        <f t="shared" si="6"/>
        <v>0.65423183217526648</v>
      </c>
      <c r="AB32" s="5">
        <f t="shared" si="7"/>
        <v>-0.44171974709427275</v>
      </c>
      <c r="AC32" s="5">
        <f t="shared" si="8"/>
        <v>-1.2199562568865159</v>
      </c>
      <c r="AD32" s="5">
        <f t="shared" si="9"/>
        <v>2.0090714344728609</v>
      </c>
      <c r="AE32" s="5">
        <f t="shared" si="10"/>
        <v>-1.2604369675339457</v>
      </c>
    </row>
    <row r="33" spans="1:31" ht="16" x14ac:dyDescent="0.2">
      <c r="A33" s="5" t="s">
        <v>54</v>
      </c>
      <c r="D33" s="3">
        <v>33</v>
      </c>
      <c r="E33" s="5" t="s">
        <v>20</v>
      </c>
      <c r="F33" s="9" t="s">
        <v>21</v>
      </c>
      <c r="G33" s="5">
        <v>42.603909262602699</v>
      </c>
      <c r="H33" s="5">
        <v>-18.546287545422299</v>
      </c>
      <c r="I33" s="5">
        <v>72.113467509292406</v>
      </c>
      <c r="J33" s="5">
        <v>-29.5095582466896</v>
      </c>
      <c r="K33" s="5">
        <v>1.9081125786619799</v>
      </c>
      <c r="L33" s="5">
        <v>77.131491023801999</v>
      </c>
      <c r="M33" s="5">
        <v>-30.863495796671398</v>
      </c>
      <c r="N33" s="5">
        <v>33.058158240663097</v>
      </c>
      <c r="O33" s="5">
        <v>39</v>
      </c>
      <c r="P33" s="5">
        <v>8.3832028401988996</v>
      </c>
      <c r="Q33" s="5">
        <v>-52.641632214109599</v>
      </c>
      <c r="R33" s="5">
        <v>7</v>
      </c>
      <c r="S33" s="5">
        <v>3.2953313401452099E-2</v>
      </c>
      <c r="U33" s="3">
        <f t="shared" si="0"/>
        <v>-0.15897881853492904</v>
      </c>
      <c r="V33" s="2">
        <f t="shared" si="1"/>
        <v>-1.9605268157105724</v>
      </c>
      <c r="W33" s="5">
        <f t="shared" si="2"/>
        <v>-1.1608012714412623</v>
      </c>
      <c r="X33" s="5">
        <f t="shared" si="3"/>
        <v>1.6132791316479469</v>
      </c>
      <c r="Y33" s="5">
        <f t="shared" si="4"/>
        <v>0.16334897779471347</v>
      </c>
      <c r="Z33" s="5">
        <f t="shared" si="5"/>
        <v>-1.5517552960653962</v>
      </c>
      <c r="AA33" s="5">
        <f t="shared" si="6"/>
        <v>0.7015062511168958</v>
      </c>
      <c r="AB33" s="5">
        <f t="shared" si="7"/>
        <v>-1.0075308289321581</v>
      </c>
      <c r="AC33" s="5">
        <f t="shared" si="8"/>
        <v>6.6648657863204827E-2</v>
      </c>
      <c r="AD33" s="5">
        <f t="shared" si="9"/>
        <v>2.0031755564410587</v>
      </c>
      <c r="AE33" s="5">
        <f t="shared" si="10"/>
        <v>-0.9188379901345326</v>
      </c>
    </row>
    <row r="34" spans="1:31" ht="16" x14ac:dyDescent="0.2">
      <c r="A34" s="5" t="s">
        <v>55</v>
      </c>
      <c r="D34" s="3">
        <v>34</v>
      </c>
      <c r="E34" s="3" t="s">
        <v>20</v>
      </c>
      <c r="F34" s="4" t="s">
        <v>21</v>
      </c>
      <c r="G34" s="5">
        <v>49.124114691001402</v>
      </c>
      <c r="H34" s="5">
        <v>-12.035357305839</v>
      </c>
      <c r="I34" s="5">
        <v>86.680849248407497</v>
      </c>
      <c r="J34" s="5">
        <v>-37.556734557406102</v>
      </c>
      <c r="K34" s="5">
        <v>1.7445701074748701</v>
      </c>
      <c r="L34" s="5">
        <v>175.09187498640401</v>
      </c>
      <c r="M34" s="5">
        <v>-39.204414902184837</v>
      </c>
      <c r="N34" s="5">
        <v>75.117368972904003</v>
      </c>
      <c r="O34" s="5">
        <v>259</v>
      </c>
      <c r="P34" s="5">
        <v>0.35027945672597199</v>
      </c>
      <c r="Q34" s="5">
        <v>-63.063634670722102</v>
      </c>
      <c r="R34" s="5">
        <v>5</v>
      </c>
      <c r="S34" s="5">
        <v>0.39801756789427001</v>
      </c>
      <c r="U34" s="3">
        <f t="shared" si="0"/>
        <v>0.44617323593874408</v>
      </c>
      <c r="V34" s="2">
        <f t="shared" si="1"/>
        <v>-0.70306744354840167</v>
      </c>
      <c r="W34" s="5">
        <f t="shared" si="2"/>
        <v>1.318891671645564E-2</v>
      </c>
      <c r="X34" s="5">
        <f t="shared" si="3"/>
        <v>0.59030742886112575</v>
      </c>
      <c r="Y34" s="5">
        <f t="shared" si="4"/>
        <v>-0.24037511186386093</v>
      </c>
      <c r="Z34" s="5">
        <f t="shared" si="5"/>
        <v>0.22600925980117348</v>
      </c>
      <c r="AA34" s="5">
        <f t="shared" si="6"/>
        <v>-0.14202671893328539</v>
      </c>
      <c r="AB34" s="5">
        <f t="shared" si="7"/>
        <v>2.1044301211762111</v>
      </c>
      <c r="AC34" s="5">
        <f t="shared" si="8"/>
        <v>-1.3500213541464428</v>
      </c>
      <c r="AD34" s="5">
        <f t="shared" si="9"/>
        <v>0.24124738011175928</v>
      </c>
      <c r="AE34" s="5">
        <f t="shared" si="10"/>
        <v>-1.2604369675339457</v>
      </c>
    </row>
    <row r="35" spans="1:31" ht="16" x14ac:dyDescent="0.2">
      <c r="A35" s="5" t="s">
        <v>56</v>
      </c>
      <c r="D35" s="5">
        <v>35</v>
      </c>
      <c r="E35" s="3" t="s">
        <v>20</v>
      </c>
      <c r="F35" s="4" t="s">
        <v>21</v>
      </c>
      <c r="G35" s="5">
        <v>50.791699240954898</v>
      </c>
      <c r="H35" s="5">
        <v>-9.2895860601645488</v>
      </c>
      <c r="I35" s="5">
        <v>92.550550768443941</v>
      </c>
      <c r="J35" s="5">
        <v>-41.758851527489099</v>
      </c>
      <c r="K35" s="5">
        <v>1.69400335820668</v>
      </c>
      <c r="L35" s="5">
        <v>220.04527854134321</v>
      </c>
      <c r="M35" s="5">
        <v>-42.250587143024561</v>
      </c>
      <c r="N35" s="5">
        <v>105.75379280999999</v>
      </c>
      <c r="O35" s="5">
        <v>279.5</v>
      </c>
      <c r="P35" s="5">
        <v>2.8504211943343543</v>
      </c>
      <c r="Q35" s="5">
        <v>-66.54546776672359</v>
      </c>
      <c r="R35" s="5">
        <v>3</v>
      </c>
      <c r="S35" s="12" t="s">
        <v>53</v>
      </c>
      <c r="U35" s="3">
        <f t="shared" si="0"/>
        <v>0.60094477304670124</v>
      </c>
      <c r="V35" s="2">
        <f t="shared" si="1"/>
        <v>-0.17277520271067626</v>
      </c>
      <c r="W35" s="5">
        <f t="shared" si="2"/>
        <v>0.48623013409831195</v>
      </c>
      <c r="X35" s="5">
        <f t="shared" si="3"/>
        <v>5.6126669521896197E-2</v>
      </c>
      <c r="Y35" s="5">
        <f t="shared" si="4"/>
        <v>-0.36520516161856031</v>
      </c>
      <c r="Z35" s="5">
        <f t="shared" si="5"/>
        <v>1.0418142237348247</v>
      </c>
      <c r="AA35" s="5">
        <f t="shared" si="6"/>
        <v>-0.45009189557568313</v>
      </c>
      <c r="AB35" s="5">
        <f t="shared" si="7"/>
        <v>2.3944083006181272</v>
      </c>
      <c r="AC35" s="5">
        <f t="shared" si="8"/>
        <v>-0.90910144786044444</v>
      </c>
      <c r="AD35" s="5">
        <f t="shared" si="9"/>
        <v>-0.34738612507692535</v>
      </c>
      <c r="AE35" s="5">
        <f t="shared" si="10"/>
        <v>-1.602035944933359</v>
      </c>
    </row>
    <row r="36" spans="1:31" ht="16" x14ac:dyDescent="0.2">
      <c r="A36" s="5" t="s">
        <v>57</v>
      </c>
      <c r="D36" s="3">
        <v>36</v>
      </c>
      <c r="E36" s="5" t="s">
        <v>58</v>
      </c>
      <c r="F36" s="9" t="s">
        <v>21</v>
      </c>
      <c r="G36" s="5">
        <v>50.102397912501623</v>
      </c>
      <c r="H36" s="5">
        <v>-24.078934555785452</v>
      </c>
      <c r="I36" s="5">
        <v>76.659606083491497</v>
      </c>
      <c r="J36" s="5">
        <v>-26.557208170989874</v>
      </c>
      <c r="K36" s="5">
        <v>1.4318740788552322</v>
      </c>
      <c r="L36" s="5">
        <v>133.80600154683779</v>
      </c>
      <c r="M36" s="5">
        <v>-42.221995538621904</v>
      </c>
      <c r="N36" s="5">
        <v>-137.95209149797961</v>
      </c>
      <c r="O36" s="5">
        <v>400</v>
      </c>
      <c r="P36" s="5">
        <v>9.2809555582148846</v>
      </c>
      <c r="Q36" s="5">
        <v>-65.201740014588353</v>
      </c>
      <c r="R36" s="5">
        <v>2</v>
      </c>
      <c r="S36" s="5">
        <v>1</v>
      </c>
      <c r="U36" s="3">
        <f t="shared" si="0"/>
        <v>0.53696947048213528</v>
      </c>
      <c r="V36" s="2">
        <f t="shared" si="1"/>
        <v>-3.0290498347026196</v>
      </c>
      <c r="W36" s="5">
        <f t="shared" si="2"/>
        <v>-0.79442643650546418</v>
      </c>
      <c r="X36" s="5">
        <f t="shared" si="3"/>
        <v>1.988587248128427</v>
      </c>
      <c r="Y36" s="5">
        <f t="shared" si="4"/>
        <v>-1.0123025419555807</v>
      </c>
      <c r="Z36" s="5">
        <f t="shared" si="5"/>
        <v>-0.52323813480759196</v>
      </c>
      <c r="AA36" s="5">
        <f t="shared" si="6"/>
        <v>-0.44720037239038685</v>
      </c>
      <c r="AB36" s="5">
        <f t="shared" si="7"/>
        <v>4.0989141846547561</v>
      </c>
      <c r="AC36" s="5">
        <f t="shared" si="8"/>
        <v>0.22497449929100458</v>
      </c>
      <c r="AD36" s="5">
        <f t="shared" si="9"/>
        <v>-0.12021751734928524</v>
      </c>
      <c r="AE36" s="5">
        <f t="shared" si="10"/>
        <v>-1.7728354336330654</v>
      </c>
    </row>
    <row r="37" spans="1:31" ht="16" x14ac:dyDescent="0.2">
      <c r="A37" s="5" t="s">
        <v>59</v>
      </c>
      <c r="D37" s="3">
        <v>37</v>
      </c>
      <c r="E37" s="5" t="s">
        <v>58</v>
      </c>
      <c r="F37" s="4" t="s">
        <v>21</v>
      </c>
      <c r="G37" s="5">
        <v>55.240439967828827</v>
      </c>
      <c r="H37" s="5">
        <v>-22.908830463296766</v>
      </c>
      <c r="I37" s="5">
        <v>82.647138183369222</v>
      </c>
      <c r="J37" s="5">
        <v>-27.406698215540469</v>
      </c>
      <c r="K37" s="5">
        <v>1.2731263344294417</v>
      </c>
      <c r="L37" s="5">
        <v>181.79082025292143</v>
      </c>
      <c r="M37" s="5">
        <v>-43.771115075139598</v>
      </c>
      <c r="N37" s="5">
        <v>-179.83932347605401</v>
      </c>
      <c r="O37" s="5">
        <v>319.33333333333331</v>
      </c>
      <c r="P37" s="5">
        <v>12.496696498604754</v>
      </c>
      <c r="Q37" s="5">
        <v>-62.444141800413774</v>
      </c>
      <c r="R37" s="5">
        <v>2</v>
      </c>
      <c r="S37" s="5">
        <v>1</v>
      </c>
      <c r="U37" s="3">
        <f t="shared" si="0"/>
        <v>1.0138404433215606</v>
      </c>
      <c r="V37" s="2">
        <f t="shared" si="1"/>
        <v>-2.8030670175991492</v>
      </c>
      <c r="W37" s="5">
        <f t="shared" si="2"/>
        <v>-0.31188921310990103</v>
      </c>
      <c r="X37" s="5">
        <f t="shared" si="3"/>
        <v>1.8805985271385421</v>
      </c>
      <c r="Y37" s="5">
        <f t="shared" si="4"/>
        <v>-1.4041902769178845</v>
      </c>
      <c r="Z37" s="5">
        <f t="shared" si="5"/>
        <v>0.3475803171487164</v>
      </c>
      <c r="AA37" s="5">
        <f t="shared" si="6"/>
        <v>-0.60386576946128823</v>
      </c>
      <c r="AB37" s="5">
        <f t="shared" si="7"/>
        <v>2.9578618362816878</v>
      </c>
      <c r="AC37" s="5">
        <f t="shared" si="8"/>
        <v>0.79209602394227785</v>
      </c>
      <c r="AD37" s="5">
        <f t="shared" si="9"/>
        <v>0.34597791992647831</v>
      </c>
      <c r="AE37" s="5">
        <f t="shared" si="10"/>
        <v>-1.7728354336330654</v>
      </c>
    </row>
    <row r="38" spans="1:31" ht="16" x14ac:dyDescent="0.2">
      <c r="A38" s="5" t="s">
        <v>60</v>
      </c>
      <c r="D38" s="3">
        <v>38</v>
      </c>
      <c r="E38" s="5" t="s">
        <v>58</v>
      </c>
      <c r="F38" s="4" t="s">
        <v>21</v>
      </c>
      <c r="G38" s="5">
        <v>53.218106630800101</v>
      </c>
      <c r="H38" s="5">
        <v>-11.081736250635402</v>
      </c>
      <c r="I38" s="5">
        <v>92.961593184983741</v>
      </c>
      <c r="J38" s="5">
        <v>-39.743486554183697</v>
      </c>
      <c r="K38" s="5">
        <v>1.6629539627795449</v>
      </c>
      <c r="L38" s="5">
        <v>187.94172350121761</v>
      </c>
      <c r="M38" s="5">
        <v>-42.698015155410197</v>
      </c>
      <c r="N38" s="5">
        <v>-81.437450840247706</v>
      </c>
      <c r="O38" s="5">
        <v>139.5</v>
      </c>
      <c r="P38" s="5">
        <v>9.1700039508552145</v>
      </c>
      <c r="Q38" s="5">
        <v>-63.371010454369703</v>
      </c>
      <c r="R38" s="5">
        <v>13</v>
      </c>
      <c r="S38" s="5">
        <v>0.34279293795083149</v>
      </c>
      <c r="U38" s="3">
        <f t="shared" si="0"/>
        <v>0.8261440298921312</v>
      </c>
      <c r="V38" s="2">
        <f t="shared" si="1"/>
        <v>-0.51889410898143695</v>
      </c>
      <c r="W38" s="5">
        <f t="shared" si="2"/>
        <v>0.51935618053386567</v>
      </c>
      <c r="X38" s="5">
        <f t="shared" si="3"/>
        <v>0.31232353397155532</v>
      </c>
      <c r="Y38" s="5">
        <f t="shared" si="4"/>
        <v>-0.44185429631903472</v>
      </c>
      <c r="Z38" s="5">
        <f t="shared" si="5"/>
        <v>0.45920562259423253</v>
      </c>
      <c r="AA38" s="5">
        <f t="shared" si="6"/>
        <v>-0.49534113914187788</v>
      </c>
      <c r="AB38" s="5">
        <f t="shared" si="7"/>
        <v>0.41406951418552873</v>
      </c>
      <c r="AC38" s="5">
        <f t="shared" si="8"/>
        <v>0.20540729972650951</v>
      </c>
      <c r="AD38" s="5">
        <f t="shared" si="9"/>
        <v>0.1892828890089587</v>
      </c>
      <c r="AE38" s="5">
        <f t="shared" si="10"/>
        <v>0.10595894206370683</v>
      </c>
    </row>
    <row r="39" spans="1:31" ht="16" x14ac:dyDescent="0.2">
      <c r="A39" s="5" t="s">
        <v>61</v>
      </c>
      <c r="D39" s="5">
        <v>39</v>
      </c>
      <c r="E39" s="5" t="s">
        <v>58</v>
      </c>
      <c r="F39" s="9" t="s">
        <v>21</v>
      </c>
      <c r="G39" s="5">
        <v>54.697862733435144</v>
      </c>
      <c r="H39" s="5">
        <v>-9.8321633820473977</v>
      </c>
      <c r="I39" s="5">
        <v>92.040854616985143</v>
      </c>
      <c r="J39" s="5">
        <v>-37.342991883550056</v>
      </c>
      <c r="K39" s="5">
        <v>1.7731155992466601</v>
      </c>
      <c r="L39" s="5">
        <v>239.06288042457101</v>
      </c>
      <c r="M39" s="5">
        <v>-37.19756763937</v>
      </c>
      <c r="N39" s="5">
        <v>-58.125284338163702</v>
      </c>
      <c r="O39" s="5">
        <v>130</v>
      </c>
      <c r="P39" s="5">
        <v>11.158882541187539</v>
      </c>
      <c r="Q39" s="5">
        <v>-63.624175715619344</v>
      </c>
      <c r="R39" s="5">
        <v>12</v>
      </c>
      <c r="S39" s="5">
        <v>0.32075120530897805</v>
      </c>
      <c r="U39" s="3">
        <f t="shared" si="0"/>
        <v>0.96348286920681092</v>
      </c>
      <c r="V39" s="2">
        <f t="shared" si="1"/>
        <v>-0.27756344546842765</v>
      </c>
      <c r="W39" s="5">
        <f t="shared" si="2"/>
        <v>0.44515355002365536</v>
      </c>
      <c r="X39" s="5">
        <f t="shared" si="3"/>
        <v>0.61747878668778933</v>
      </c>
      <c r="Y39" s="5">
        <f t="shared" si="4"/>
        <v>-0.16990716188261726</v>
      </c>
      <c r="Z39" s="5">
        <f t="shared" si="5"/>
        <v>1.3869416844284332</v>
      </c>
      <c r="AA39" s="5">
        <f t="shared" si="6"/>
        <v>6.0929551307998799E-2</v>
      </c>
      <c r="AB39" s="5">
        <f t="shared" si="7"/>
        <v>0.279689382249031</v>
      </c>
      <c r="AC39" s="5">
        <f t="shared" si="8"/>
        <v>0.55616187834589137</v>
      </c>
      <c r="AD39" s="5">
        <f t="shared" si="9"/>
        <v>0.14648314789198189</v>
      </c>
      <c r="AE39" s="5">
        <f t="shared" si="10"/>
        <v>-6.4840546635999738E-2</v>
      </c>
    </row>
    <row r="40" spans="1:31" ht="16" x14ac:dyDescent="0.2">
      <c r="A40" s="5" t="s">
        <v>62</v>
      </c>
      <c r="D40" s="3">
        <v>40</v>
      </c>
      <c r="E40" s="5" t="s">
        <v>58</v>
      </c>
      <c r="F40" s="4" t="s">
        <v>21</v>
      </c>
      <c r="G40" s="5">
        <v>56.095410155179898</v>
      </c>
      <c r="H40" s="5">
        <v>-6.7411154327051008</v>
      </c>
      <c r="I40" s="5">
        <v>96.348590785501898</v>
      </c>
      <c r="J40" s="5">
        <v>-40.253180630321999</v>
      </c>
      <c r="K40" s="5">
        <v>1.7655430242102399</v>
      </c>
      <c r="L40" s="5">
        <v>232.45629192073</v>
      </c>
      <c r="M40" s="5">
        <v>-39.043650161728635</v>
      </c>
      <c r="N40" s="5">
        <v>-71.062156330381697</v>
      </c>
      <c r="O40" s="5">
        <v>120</v>
      </c>
      <c r="P40" s="5">
        <v>10.378435481961199</v>
      </c>
      <c r="Q40" s="5">
        <v>-65.012775132640499</v>
      </c>
      <c r="R40" s="5">
        <v>13</v>
      </c>
      <c r="S40" s="5">
        <v>0.308343659644774</v>
      </c>
      <c r="U40" s="3">
        <f t="shared" si="0"/>
        <v>1.0931917722130964</v>
      </c>
      <c r="V40" s="2">
        <f t="shared" si="1"/>
        <v>0.31941226624675267</v>
      </c>
      <c r="W40" s="5">
        <f t="shared" si="2"/>
        <v>0.79231545499601708</v>
      </c>
      <c r="X40" s="5">
        <f t="shared" si="3"/>
        <v>0.2475302950967965</v>
      </c>
      <c r="Y40" s="5">
        <f t="shared" si="4"/>
        <v>-0.18860096625501288</v>
      </c>
      <c r="Z40" s="5">
        <f t="shared" si="5"/>
        <v>1.267046698289874</v>
      </c>
      <c r="AA40" s="5">
        <f t="shared" si="6"/>
        <v>-0.12576827579519928</v>
      </c>
      <c r="AB40" s="5">
        <f t="shared" si="7"/>
        <v>0.13823661178955968</v>
      </c>
      <c r="AC40" s="5">
        <f t="shared" si="8"/>
        <v>0.41852382405524202</v>
      </c>
      <c r="AD40" s="5">
        <f t="shared" si="9"/>
        <v>-8.8271396512457037E-2</v>
      </c>
      <c r="AE40" s="5">
        <f t="shared" si="10"/>
        <v>0.10595894206370683</v>
      </c>
    </row>
    <row r="41" spans="1:31" ht="16" x14ac:dyDescent="0.2">
      <c r="A41" s="5" t="s">
        <v>63</v>
      </c>
      <c r="D41" s="3">
        <v>41</v>
      </c>
      <c r="E41" s="5" t="s">
        <v>58</v>
      </c>
      <c r="F41" s="4" t="s">
        <v>21</v>
      </c>
      <c r="G41" s="5">
        <v>51.645180675697134</v>
      </c>
      <c r="H41" s="5">
        <v>-10.117154095833135</v>
      </c>
      <c r="I41" s="5">
        <v>94.671535582718306</v>
      </c>
      <c r="J41" s="5">
        <v>-43.026354907021165</v>
      </c>
      <c r="K41" s="5">
        <v>1.6182024570255731</v>
      </c>
      <c r="L41" s="5">
        <v>189.00712748846064</v>
      </c>
      <c r="M41" s="5">
        <v>-50.751770638412268</v>
      </c>
      <c r="N41" s="5">
        <v>-78.709916624792797</v>
      </c>
      <c r="O41" s="5">
        <v>66.333333333333329</v>
      </c>
      <c r="P41" s="5">
        <v>9.6318027065460967</v>
      </c>
      <c r="Q41" s="5">
        <v>-59.341802972610935</v>
      </c>
      <c r="R41" s="5">
        <v>15</v>
      </c>
      <c r="S41" s="5">
        <v>0.26297779502656732</v>
      </c>
      <c r="U41" s="3">
        <f t="shared" si="0"/>
        <v>0.68015792811691589</v>
      </c>
      <c r="V41" s="2">
        <f t="shared" si="1"/>
        <v>-0.3326038514998701</v>
      </c>
      <c r="W41" s="5">
        <f t="shared" si="2"/>
        <v>0.65716101280959383</v>
      </c>
      <c r="X41" s="5">
        <f t="shared" si="3"/>
        <v>-0.10500066761886538</v>
      </c>
      <c r="Y41" s="5">
        <f t="shared" si="4"/>
        <v>-0.55232872409444644</v>
      </c>
      <c r="Z41" s="5">
        <f t="shared" si="5"/>
        <v>0.47854035128335914</v>
      </c>
      <c r="AA41" s="5">
        <f t="shared" si="6"/>
        <v>-1.3098327073605431</v>
      </c>
      <c r="AB41" s="5">
        <f t="shared" si="7"/>
        <v>-0.62089325634293646</v>
      </c>
      <c r="AC41" s="5">
        <f t="shared" si="8"/>
        <v>0.2868491880080084</v>
      </c>
      <c r="AD41" s="5">
        <f t="shared" si="9"/>
        <v>0.8704546906796965</v>
      </c>
      <c r="AE41" s="5">
        <f t="shared" si="10"/>
        <v>0.44755791946311996</v>
      </c>
    </row>
    <row r="42" spans="1:31" ht="16" x14ac:dyDescent="0.2">
      <c r="A42" s="5" t="s">
        <v>64</v>
      </c>
      <c r="D42" s="3">
        <v>42</v>
      </c>
      <c r="E42" s="5" t="s">
        <v>58</v>
      </c>
      <c r="F42" s="9" t="s">
        <v>21</v>
      </c>
      <c r="G42" s="5">
        <v>52.642645923661348</v>
      </c>
      <c r="H42" s="5">
        <v>-15.997818782013844</v>
      </c>
      <c r="I42" s="5">
        <v>95.526505706467248</v>
      </c>
      <c r="J42" s="5">
        <v>-42.883859782805857</v>
      </c>
      <c r="K42" s="5">
        <v>1.70661711680273</v>
      </c>
      <c r="L42" s="5">
        <v>189.6111936874758</v>
      </c>
      <c r="M42" s="5">
        <v>-48.884877583937403</v>
      </c>
      <c r="N42" s="5">
        <v>-124.975971909729</v>
      </c>
      <c r="O42" s="5">
        <v>160</v>
      </c>
      <c r="P42" s="5">
        <v>5.5517735762382747</v>
      </c>
      <c r="Q42" s="5">
        <v>-61.165098137536205</v>
      </c>
      <c r="R42" s="5">
        <v>6</v>
      </c>
      <c r="S42" s="5">
        <v>0.6733807717309005</v>
      </c>
      <c r="U42" s="3">
        <f t="shared" si="0"/>
        <v>0.77273448121792432</v>
      </c>
      <c r="V42" s="2">
        <f t="shared" si="1"/>
        <v>-1.4683397067582895</v>
      </c>
      <c r="W42" s="5">
        <f t="shared" si="2"/>
        <v>0.72606334230330971</v>
      </c>
      <c r="X42" s="5">
        <f t="shared" si="3"/>
        <v>-8.6886428011211644E-2</v>
      </c>
      <c r="Y42" s="5">
        <f t="shared" si="4"/>
        <v>-0.33406659455767157</v>
      </c>
      <c r="Z42" s="5">
        <f t="shared" si="5"/>
        <v>0.4895028182987618</v>
      </c>
      <c r="AA42" s="5">
        <f t="shared" si="6"/>
        <v>-1.1210302716713771</v>
      </c>
      <c r="AB42" s="5">
        <f t="shared" si="7"/>
        <v>0.70404769362744501</v>
      </c>
      <c r="AC42" s="5">
        <f t="shared" si="8"/>
        <v>-0.43269644203308932</v>
      </c>
      <c r="AD42" s="5">
        <f t="shared" si="9"/>
        <v>0.5622111320909583</v>
      </c>
      <c r="AE42" s="5">
        <f t="shared" si="10"/>
        <v>-1.0896374788342391</v>
      </c>
    </row>
    <row r="43" spans="1:31" ht="16" x14ac:dyDescent="0.2">
      <c r="A43" s="5" t="s">
        <v>65</v>
      </c>
      <c r="D43" s="5">
        <v>43</v>
      </c>
      <c r="E43" s="5" t="s">
        <v>58</v>
      </c>
      <c r="F43" s="4" t="s">
        <v>21</v>
      </c>
      <c r="G43" s="5">
        <v>47.627916810529051</v>
      </c>
      <c r="H43" s="5">
        <v>-9.1416104772827467</v>
      </c>
      <c r="I43" s="5">
        <v>90.544660083253092</v>
      </c>
      <c r="J43" s="5">
        <v>-42.916743272723949</v>
      </c>
      <c r="K43" s="5">
        <v>1.6498706076267751</v>
      </c>
      <c r="L43" s="5">
        <v>160.12061876089942</v>
      </c>
      <c r="M43" s="5">
        <v>-45.119087100123203</v>
      </c>
      <c r="N43" s="5">
        <v>-257.25615977432301</v>
      </c>
      <c r="O43" s="5">
        <v>89.5</v>
      </c>
      <c r="P43" s="5">
        <v>10.922402437252504</v>
      </c>
      <c r="Q43" s="5">
        <v>-71.107898773273547</v>
      </c>
      <c r="R43" s="5">
        <v>9</v>
      </c>
      <c r="S43" s="5">
        <v>0.35492049357452349</v>
      </c>
      <c r="U43" s="3">
        <f t="shared" si="0"/>
        <v>0.30730840549591515</v>
      </c>
      <c r="V43" s="2">
        <f t="shared" si="1"/>
        <v>-0.14419660077532656</v>
      </c>
      <c r="W43" s="5">
        <f t="shared" si="2"/>
        <v>0.32457472991487851</v>
      </c>
      <c r="X43" s="5">
        <f t="shared" si="3"/>
        <v>-9.106663711515367E-2</v>
      </c>
      <c r="Y43" s="5">
        <f t="shared" si="4"/>
        <v>-0.47415211847123012</v>
      </c>
      <c r="Z43" s="5">
        <f t="shared" si="5"/>
        <v>-4.5685966349222583E-2</v>
      </c>
      <c r="AA43" s="5">
        <f t="shared" si="6"/>
        <v>-0.7401887371576622</v>
      </c>
      <c r="AB43" s="5">
        <f t="shared" si="7"/>
        <v>-0.29319433811182788</v>
      </c>
      <c r="AC43" s="5">
        <f t="shared" si="8"/>
        <v>0.51445672871494219</v>
      </c>
      <c r="AD43" s="5">
        <f t="shared" si="9"/>
        <v>-1.1187038998005798</v>
      </c>
      <c r="AE43" s="5">
        <f t="shared" si="10"/>
        <v>-0.57723901273511946</v>
      </c>
    </row>
    <row r="44" spans="1:31" ht="16" x14ac:dyDescent="0.2">
      <c r="A44" s="5" t="s">
        <v>66</v>
      </c>
      <c r="D44" s="3">
        <v>44</v>
      </c>
      <c r="E44" s="5" t="s">
        <v>58</v>
      </c>
      <c r="F44" s="4" t="s">
        <v>21</v>
      </c>
      <c r="G44" s="5">
        <v>51.689025315412501</v>
      </c>
      <c r="H44" s="5">
        <v>-11.54210540369035</v>
      </c>
      <c r="I44" s="5">
        <v>94.2604919449617</v>
      </c>
      <c r="J44" s="5">
        <v>-42.571466629549249</v>
      </c>
      <c r="K44" s="5">
        <v>1.6724715306007849</v>
      </c>
      <c r="L44" s="5">
        <v>178.73977227670059</v>
      </c>
      <c r="M44" s="5">
        <v>-47.770104349702592</v>
      </c>
      <c r="N44" s="5">
        <v>-66.102192415864096</v>
      </c>
      <c r="O44" s="5">
        <v>160</v>
      </c>
      <c r="P44" s="5">
        <v>6.5931699886820647</v>
      </c>
      <c r="Q44" s="5">
        <v>-62.322192479109503</v>
      </c>
      <c r="R44" s="5">
        <v>4</v>
      </c>
      <c r="S44" s="5">
        <v>0.36008398756802951</v>
      </c>
      <c r="U44" s="3">
        <f t="shared" si="0"/>
        <v>0.68422722840089911</v>
      </c>
      <c r="V44" s="2">
        <f t="shared" si="1"/>
        <v>-0.60780544497516353</v>
      </c>
      <c r="W44" s="5">
        <f t="shared" si="2"/>
        <v>0.62403486795576757</v>
      </c>
      <c r="X44" s="5">
        <f t="shared" si="3"/>
        <v>-4.7174441646468696E-2</v>
      </c>
      <c r="Y44" s="5">
        <f t="shared" si="4"/>
        <v>-0.41835904535148832</v>
      </c>
      <c r="Z44" s="5">
        <f t="shared" si="5"/>
        <v>0.29221053672355429</v>
      </c>
      <c r="AA44" s="5">
        <f t="shared" si="6"/>
        <v>-1.0082911400108201</v>
      </c>
      <c r="AB44" s="5">
        <f t="shared" si="7"/>
        <v>0.70404769362744501</v>
      </c>
      <c r="AC44" s="5">
        <f t="shared" si="8"/>
        <v>-0.24903789113007857</v>
      </c>
      <c r="AD44" s="5">
        <f t="shared" si="9"/>
        <v>0.36659449012829237</v>
      </c>
      <c r="AE44" s="5">
        <f t="shared" si="10"/>
        <v>-1.4312364562336524</v>
      </c>
    </row>
    <row r="45" spans="1:31" ht="16" x14ac:dyDescent="0.2">
      <c r="A45" s="5" t="s">
        <v>67</v>
      </c>
      <c r="D45" s="3">
        <v>45</v>
      </c>
      <c r="E45" s="5" t="s">
        <v>58</v>
      </c>
      <c r="F45" s="9" t="s">
        <v>21</v>
      </c>
      <c r="G45" s="5">
        <v>42.876255330035406</v>
      </c>
      <c r="H45" s="5">
        <v>-7.1192756066921028</v>
      </c>
      <c r="I45" s="5">
        <v>83.672013532128048</v>
      </c>
      <c r="J45" s="5">
        <v>-40.795758202092649</v>
      </c>
      <c r="K45" s="5">
        <v>1.7900428359364899</v>
      </c>
      <c r="L45" s="5">
        <v>161.12904889768919</v>
      </c>
      <c r="M45" s="5">
        <v>-36.823519038395361</v>
      </c>
      <c r="N45" s="5">
        <v>-85.832443604938106</v>
      </c>
      <c r="O45" s="5">
        <v>99.5</v>
      </c>
      <c r="P45" s="5">
        <v>7.1874310050843579</v>
      </c>
      <c r="Q45" s="5">
        <v>-69.3832463705062</v>
      </c>
      <c r="R45" s="5">
        <v>8</v>
      </c>
      <c r="S45" s="5">
        <v>0.718994252873564</v>
      </c>
      <c r="U45" s="3">
        <f t="shared" si="0"/>
        <v>-0.13370188760927196</v>
      </c>
      <c r="V45" s="2">
        <f t="shared" si="1"/>
        <v>0.24637799349913589</v>
      </c>
      <c r="W45" s="5">
        <f t="shared" si="2"/>
        <v>-0.22929416445425499</v>
      </c>
      <c r="X45" s="5">
        <f t="shared" si="3"/>
        <v>0.17855684639168903</v>
      </c>
      <c r="Y45" s="5">
        <f t="shared" si="4"/>
        <v>-0.12812025984162972</v>
      </c>
      <c r="Z45" s="5">
        <f t="shared" si="5"/>
        <v>-2.7385187179788731E-2</v>
      </c>
      <c r="AA45" s="5">
        <f t="shared" si="6"/>
        <v>9.8757795813414123E-2</v>
      </c>
      <c r="AB45" s="5">
        <f t="shared" si="7"/>
        <v>-0.15174156765235655</v>
      </c>
      <c r="AC45" s="5">
        <f t="shared" si="8"/>
        <v>-0.14423522825698515</v>
      </c>
      <c r="AD45" s="5">
        <f t="shared" si="9"/>
        <v>-0.82713673931868725</v>
      </c>
      <c r="AE45" s="5">
        <f t="shared" si="10"/>
        <v>-0.74803850143482609</v>
      </c>
    </row>
    <row r="46" spans="1:31" ht="16" x14ac:dyDescent="0.2">
      <c r="A46" s="5" t="s">
        <v>68</v>
      </c>
      <c r="D46" s="3">
        <v>46</v>
      </c>
      <c r="E46" s="5" t="s">
        <v>58</v>
      </c>
      <c r="F46" s="4" t="s">
        <v>21</v>
      </c>
      <c r="G46" s="5">
        <v>47.512824665478703</v>
      </c>
      <c r="H46" s="5">
        <v>-9.371794609328802</v>
      </c>
      <c r="I46" s="5">
        <v>86.220481320246904</v>
      </c>
      <c r="J46" s="5">
        <v>-38.707656654768201</v>
      </c>
      <c r="K46" s="5">
        <v>2.1556151403179</v>
      </c>
      <c r="L46" s="5">
        <v>141.6866896045276</v>
      </c>
      <c r="M46" s="5">
        <v>-30.929814111053958</v>
      </c>
      <c r="N46" s="5">
        <v>-101.779181864405</v>
      </c>
      <c r="O46" s="5">
        <v>79</v>
      </c>
      <c r="P46" s="5">
        <v>11.2452283530509</v>
      </c>
      <c r="Q46" s="5">
        <v>-63.369666626412702</v>
      </c>
      <c r="R46" s="5">
        <v>5</v>
      </c>
      <c r="S46" s="5">
        <v>1</v>
      </c>
      <c r="U46" s="3">
        <f t="shared" si="0"/>
        <v>0.29662649542485398</v>
      </c>
      <c r="V46" s="2">
        <f t="shared" si="1"/>
        <v>-0.18865218292926034</v>
      </c>
      <c r="W46" s="5">
        <f t="shared" si="2"/>
        <v>-2.3912289271152742E-2</v>
      </c>
      <c r="X46" s="5">
        <f t="shared" si="3"/>
        <v>0.44400011655014998</v>
      </c>
      <c r="Y46" s="5">
        <f t="shared" si="4"/>
        <v>0.77433856152418623</v>
      </c>
      <c r="Z46" s="5">
        <f t="shared" si="5"/>
        <v>-0.38022105649407234</v>
      </c>
      <c r="AA46" s="5">
        <f t="shared" si="6"/>
        <v>0.69479935419196759</v>
      </c>
      <c r="AB46" s="5">
        <f t="shared" si="7"/>
        <v>-0.44171974709427275</v>
      </c>
      <c r="AC46" s="5">
        <f t="shared" si="8"/>
        <v>0.57138964991671448</v>
      </c>
      <c r="AD46" s="5">
        <f t="shared" si="9"/>
        <v>0.18951007455717137</v>
      </c>
      <c r="AE46" s="5">
        <f t="shared" si="10"/>
        <v>-1.2604369675339457</v>
      </c>
    </row>
    <row r="47" spans="1:31" ht="16" x14ac:dyDescent="0.2">
      <c r="A47" s="5" t="s">
        <v>69</v>
      </c>
      <c r="D47" s="5">
        <v>47</v>
      </c>
      <c r="E47" s="5" t="s">
        <v>58</v>
      </c>
      <c r="F47" s="4" t="s">
        <v>21</v>
      </c>
      <c r="G47" s="5">
        <v>46.526320561402002</v>
      </c>
      <c r="H47" s="5">
        <v>-8.3195229684265044</v>
      </c>
      <c r="I47" s="5">
        <v>86.286248857072493</v>
      </c>
      <c r="J47" s="5">
        <v>-39.759928295670498</v>
      </c>
      <c r="K47" s="5">
        <v>2.0229522081027</v>
      </c>
      <c r="L47" s="5">
        <v>158.68627468689519</v>
      </c>
      <c r="M47" s="5">
        <v>-33.827553736238038</v>
      </c>
      <c r="N47" s="5">
        <v>-53.518199701953201</v>
      </c>
      <c r="O47" s="5">
        <v>79</v>
      </c>
      <c r="P47" s="5">
        <v>7.0319109789077396</v>
      </c>
      <c r="Q47" s="5">
        <v>-56.864334811348598</v>
      </c>
      <c r="R47" s="5">
        <v>6</v>
      </c>
      <c r="S47" s="5">
        <v>0.125777923354078</v>
      </c>
      <c r="U47" s="3">
        <f t="shared" si="0"/>
        <v>0.20506726590601668</v>
      </c>
      <c r="V47" s="2">
        <f t="shared" si="1"/>
        <v>1.457359099605586E-2</v>
      </c>
      <c r="W47" s="5">
        <f t="shared" si="2"/>
        <v>-1.8612061384268686E-2</v>
      </c>
      <c r="X47" s="5">
        <f t="shared" si="3"/>
        <v>0.3102334298609824</v>
      </c>
      <c r="Y47" s="5">
        <f t="shared" si="4"/>
        <v>0.44684429565399902</v>
      </c>
      <c r="Z47" s="5">
        <f t="shared" si="5"/>
        <v>-7.1716142554487883E-2</v>
      </c>
      <c r="AA47" s="5">
        <f t="shared" si="6"/>
        <v>0.40174544951521673</v>
      </c>
      <c r="AB47" s="5">
        <f t="shared" si="7"/>
        <v>-0.44171974709427275</v>
      </c>
      <c r="AC47" s="5">
        <f t="shared" si="8"/>
        <v>-0.17166242341792268</v>
      </c>
      <c r="AD47" s="5">
        <f t="shared" si="9"/>
        <v>1.289291759415685</v>
      </c>
      <c r="AE47" s="5">
        <f t="shared" si="10"/>
        <v>-1.0896374788342391</v>
      </c>
    </row>
    <row r="48" spans="1:31" ht="16" x14ac:dyDescent="0.2">
      <c r="A48" s="5" t="s">
        <v>70</v>
      </c>
      <c r="D48" s="3">
        <v>48</v>
      </c>
      <c r="E48" s="5" t="s">
        <v>58</v>
      </c>
      <c r="F48" s="9" t="s">
        <v>21</v>
      </c>
      <c r="G48" s="5">
        <v>47.923868038777201</v>
      </c>
      <c r="H48" s="5">
        <v>-3.7487177916577004</v>
      </c>
      <c r="I48" s="5">
        <v>87.782446805032095</v>
      </c>
      <c r="J48" s="5">
        <v>-39.858578766254894</v>
      </c>
      <c r="K48" s="5">
        <v>2.1252105549377553</v>
      </c>
      <c r="L48" s="5">
        <v>187.05218755895442</v>
      </c>
      <c r="M48" s="5">
        <v>-30.459668060047541</v>
      </c>
      <c r="N48" s="5">
        <v>-50.762568405072798</v>
      </c>
      <c r="O48" s="5">
        <v>120</v>
      </c>
      <c r="P48" s="5">
        <v>4.5434641330670802</v>
      </c>
      <c r="Q48" s="5">
        <v>-68.242635904348106</v>
      </c>
      <c r="R48" s="5">
        <v>7</v>
      </c>
      <c r="S48" s="5">
        <v>0.89968528717545193</v>
      </c>
      <c r="U48" s="3">
        <f t="shared" si="0"/>
        <v>0.33477617407546417</v>
      </c>
      <c r="V48" s="2">
        <f t="shared" si="1"/>
        <v>0.89733559217872361</v>
      </c>
      <c r="W48" s="5">
        <f t="shared" si="2"/>
        <v>0.1019670338782534</v>
      </c>
      <c r="X48" s="5">
        <f t="shared" si="3"/>
        <v>0.29769280244362994</v>
      </c>
      <c r="Y48" s="5">
        <f t="shared" si="4"/>
        <v>0.69928121730684623</v>
      </c>
      <c r="Z48" s="5">
        <f t="shared" si="5"/>
        <v>0.44306251039564626</v>
      </c>
      <c r="AA48" s="5">
        <f t="shared" si="6"/>
        <v>0.74234611609506063</v>
      </c>
      <c r="AB48" s="5">
        <f t="shared" si="7"/>
        <v>0.13823661178955968</v>
      </c>
      <c r="AC48" s="5">
        <f t="shared" si="8"/>
        <v>-0.61051984240382828</v>
      </c>
      <c r="AD48" s="5">
        <f t="shared" si="9"/>
        <v>-0.63430683672497268</v>
      </c>
      <c r="AE48" s="5">
        <f t="shared" si="10"/>
        <v>-0.9188379901345326</v>
      </c>
    </row>
    <row r="49" spans="1:31" ht="16" x14ac:dyDescent="0.2">
      <c r="A49" s="5" t="s">
        <v>71</v>
      </c>
      <c r="D49" s="3">
        <v>49</v>
      </c>
      <c r="E49" s="5" t="s">
        <v>58</v>
      </c>
      <c r="F49" s="4" t="s">
        <v>21</v>
      </c>
      <c r="G49" s="5">
        <v>50.488778679638855</v>
      </c>
      <c r="H49" s="5">
        <v>-7.6947366052204522</v>
      </c>
      <c r="I49" s="5">
        <v>89.673245927540307</v>
      </c>
      <c r="J49" s="5">
        <v>-39.184467247901452</v>
      </c>
      <c r="K49" s="5">
        <v>2.0704344268280401</v>
      </c>
      <c r="L49" s="5">
        <v>166.50338551375859</v>
      </c>
      <c r="M49" s="5">
        <v>-33.735611609064918</v>
      </c>
      <c r="N49" s="5">
        <v>-74.034540274290407</v>
      </c>
      <c r="O49" s="5">
        <v>69.5</v>
      </c>
      <c r="P49" s="5">
        <v>4.0621297155167948</v>
      </c>
      <c r="Q49" s="5">
        <v>-57.998242223771854</v>
      </c>
      <c r="R49" s="5">
        <v>8</v>
      </c>
      <c r="S49" s="5">
        <v>0.84533431300514206</v>
      </c>
      <c r="U49" s="3">
        <f t="shared" si="0"/>
        <v>0.5728301680644251</v>
      </c>
      <c r="V49" s="2">
        <f t="shared" si="1"/>
        <v>0.13523890902330746</v>
      </c>
      <c r="W49" s="5">
        <f t="shared" si="2"/>
        <v>0.25434717036094756</v>
      </c>
      <c r="X49" s="5">
        <f t="shared" si="3"/>
        <v>0.38338708590053483</v>
      </c>
      <c r="Y49" s="5">
        <f t="shared" si="4"/>
        <v>0.56405981398822469</v>
      </c>
      <c r="Z49" s="5">
        <f t="shared" si="5"/>
        <v>7.0147149473685111E-2</v>
      </c>
      <c r="AA49" s="5">
        <f t="shared" si="6"/>
        <v>0.41104373123045451</v>
      </c>
      <c r="AB49" s="5">
        <f t="shared" si="7"/>
        <v>-0.57609987903077053</v>
      </c>
      <c r="AC49" s="5">
        <f t="shared" si="8"/>
        <v>-0.69540700023413393</v>
      </c>
      <c r="AD49" s="5">
        <f t="shared" si="9"/>
        <v>1.0975950650794075</v>
      </c>
      <c r="AE49" s="5">
        <f t="shared" si="10"/>
        <v>-0.74803850143482609</v>
      </c>
    </row>
    <row r="50" spans="1:31" ht="16" x14ac:dyDescent="0.2">
      <c r="A50" s="5" t="s">
        <v>72</v>
      </c>
      <c r="D50" s="3">
        <v>50</v>
      </c>
      <c r="E50" s="5" t="s">
        <v>58</v>
      </c>
      <c r="F50" s="4" t="s">
        <v>21</v>
      </c>
      <c r="G50" s="5">
        <v>48.893930384642502</v>
      </c>
      <c r="H50" s="5">
        <v>-9.963697249325552</v>
      </c>
      <c r="I50" s="5">
        <v>85.118883676964657</v>
      </c>
      <c r="J50" s="5">
        <v>-36.224953292322148</v>
      </c>
      <c r="K50" s="5">
        <v>2.1011849328897698</v>
      </c>
      <c r="L50" s="5">
        <v>154.5406046760732</v>
      </c>
      <c r="M50" s="5">
        <v>-33.413830071121382</v>
      </c>
      <c r="N50" s="5">
        <v>-85.060286561071194</v>
      </c>
      <c r="O50" s="5">
        <v>80</v>
      </c>
      <c r="P50" s="5">
        <v>7.2604399906470043</v>
      </c>
      <c r="Q50" s="5">
        <v>-60.804117925815149</v>
      </c>
      <c r="R50" s="5">
        <v>7</v>
      </c>
      <c r="S50" s="5">
        <v>1</v>
      </c>
      <c r="U50" s="3">
        <f t="shared" si="0"/>
        <v>0.42480941428766827</v>
      </c>
      <c r="V50" s="2">
        <f t="shared" si="1"/>
        <v>-0.30296665024554348</v>
      </c>
      <c r="W50" s="5">
        <f t="shared" si="2"/>
        <v>-0.11269041341671963</v>
      </c>
      <c r="X50" s="5">
        <f t="shared" si="3"/>
        <v>0.7596058878334031</v>
      </c>
      <c r="Y50" s="5">
        <f t="shared" si="4"/>
        <v>0.63997110465295082</v>
      </c>
      <c r="Z50" s="5">
        <f t="shared" si="5"/>
        <v>-0.14695089468012204</v>
      </c>
      <c r="AA50" s="5">
        <f t="shared" si="6"/>
        <v>0.44358610851228258</v>
      </c>
      <c r="AB50" s="5">
        <f t="shared" si="7"/>
        <v>-0.42757447004832561</v>
      </c>
      <c r="AC50" s="5">
        <f t="shared" si="8"/>
        <v>-0.13135951221733708</v>
      </c>
      <c r="AD50" s="5">
        <f t="shared" si="9"/>
        <v>0.6232379077779191</v>
      </c>
      <c r="AE50" s="5">
        <f t="shared" si="10"/>
        <v>-0.9188379901345326</v>
      </c>
    </row>
    <row r="51" spans="1:31" ht="16" x14ac:dyDescent="0.2">
      <c r="A51" s="5" t="s">
        <v>73</v>
      </c>
      <c r="D51" s="5">
        <v>51</v>
      </c>
      <c r="E51" s="5" t="s">
        <v>58</v>
      </c>
      <c r="F51" s="9" t="s">
        <v>21</v>
      </c>
      <c r="G51" s="5">
        <v>51.754792254281298</v>
      </c>
      <c r="H51" s="5">
        <v>-20.190463675335202</v>
      </c>
      <c r="I51" s="5">
        <v>90.593982863689902</v>
      </c>
      <c r="J51" s="5">
        <v>-38.839190609408597</v>
      </c>
      <c r="K51" s="5">
        <v>1.5409262718272501</v>
      </c>
      <c r="L51" s="5">
        <v>217.03095651008201</v>
      </c>
      <c r="M51" s="5">
        <v>-52.154727850324804</v>
      </c>
      <c r="N51" s="5">
        <v>49.663529476585197</v>
      </c>
      <c r="O51" s="5">
        <v>79</v>
      </c>
      <c r="P51" s="5">
        <v>11.9978139250321</v>
      </c>
      <c r="Q51" s="5">
        <v>-55.331189512690699</v>
      </c>
      <c r="R51" s="5">
        <v>8</v>
      </c>
      <c r="S51" s="5">
        <v>0.10721880246222699</v>
      </c>
      <c r="U51" s="3">
        <f t="shared" si="0"/>
        <v>0.69033117690527501</v>
      </c>
      <c r="V51" s="2">
        <f t="shared" si="1"/>
        <v>-2.2780674140531874</v>
      </c>
      <c r="W51" s="5">
        <f t="shared" si="2"/>
        <v>0.32854966935989849</v>
      </c>
      <c r="X51" s="5">
        <f t="shared" si="3"/>
        <v>0.42727928077405525</v>
      </c>
      <c r="Y51" s="5">
        <f t="shared" si="4"/>
        <v>-0.74309420106823065</v>
      </c>
      <c r="Z51" s="5">
        <f t="shared" si="5"/>
        <v>0.98711093807610706</v>
      </c>
      <c r="AA51" s="5">
        <f t="shared" si="6"/>
        <v>-1.4517164313059816</v>
      </c>
      <c r="AB51" s="5">
        <f t="shared" si="7"/>
        <v>-0.44171974709427275</v>
      </c>
      <c r="AC51" s="5">
        <f t="shared" si="8"/>
        <v>0.70411410904580818</v>
      </c>
      <c r="AD51" s="5">
        <f t="shared" si="9"/>
        <v>1.5484830147773885</v>
      </c>
      <c r="AE51" s="5">
        <f t="shared" si="10"/>
        <v>-0.74803850143482609</v>
      </c>
    </row>
    <row r="52" spans="1:31" ht="16" x14ac:dyDescent="0.2">
      <c r="A52" s="5" t="s">
        <v>74</v>
      </c>
      <c r="D52" s="3">
        <v>52</v>
      </c>
      <c r="E52" s="5" t="s">
        <v>58</v>
      </c>
      <c r="F52" s="4" t="s">
        <v>21</v>
      </c>
      <c r="G52" s="5">
        <v>50.283167457111702</v>
      </c>
      <c r="H52" s="5">
        <v>-17.625550976739099</v>
      </c>
      <c r="I52" s="5">
        <v>88.456556569828393</v>
      </c>
      <c r="J52" s="5">
        <v>-38.173389112716698</v>
      </c>
      <c r="K52" s="5">
        <v>1.59990299165593</v>
      </c>
      <c r="L52" s="5">
        <v>177.67196256098882</v>
      </c>
      <c r="M52" s="5">
        <v>-49.205642513874004</v>
      </c>
      <c r="N52" s="5">
        <v>27.1167073588189</v>
      </c>
      <c r="O52" s="5">
        <v>120</v>
      </c>
      <c r="P52" s="5">
        <v>12.0511522480435</v>
      </c>
      <c r="Q52" s="5">
        <v>-54.803493380884703</v>
      </c>
      <c r="R52" s="5">
        <v>7</v>
      </c>
      <c r="S52" s="5">
        <v>0.143890274314214</v>
      </c>
      <c r="U52" s="3">
        <f t="shared" si="0"/>
        <v>0.55374701875240906</v>
      </c>
      <c r="V52" s="2">
        <f t="shared" si="1"/>
        <v>-1.7827044792732485</v>
      </c>
      <c r="W52" s="5">
        <f t="shared" si="2"/>
        <v>0.1562937662852972</v>
      </c>
      <c r="X52" s="5">
        <f t="shared" si="3"/>
        <v>0.51191717914865686</v>
      </c>
      <c r="Y52" s="5">
        <f t="shared" si="4"/>
        <v>-0.59750313624543561</v>
      </c>
      <c r="Z52" s="5">
        <f t="shared" si="5"/>
        <v>0.27283214937743017</v>
      </c>
      <c r="AA52" s="5">
        <f t="shared" si="6"/>
        <v>-1.1534698374571795</v>
      </c>
      <c r="AB52" s="5">
        <f t="shared" si="7"/>
        <v>0.13823661178955968</v>
      </c>
      <c r="AC52" s="5">
        <f t="shared" si="8"/>
        <v>0.71352074708951219</v>
      </c>
      <c r="AD52" s="5">
        <f t="shared" si="9"/>
        <v>1.6376945350240617</v>
      </c>
      <c r="AE52" s="5">
        <f t="shared" si="10"/>
        <v>-0.9188379901345326</v>
      </c>
    </row>
    <row r="53" spans="1:31" ht="16" x14ac:dyDescent="0.2">
      <c r="A53" s="5" t="s">
        <v>75</v>
      </c>
      <c r="D53" s="3">
        <v>53</v>
      </c>
      <c r="E53" s="5" t="s">
        <v>58</v>
      </c>
      <c r="F53" s="4" t="s">
        <v>21</v>
      </c>
      <c r="G53" s="5">
        <v>41.692450375580897</v>
      </c>
      <c r="H53" s="5">
        <v>-15.948493183206303</v>
      </c>
      <c r="I53" s="5">
        <v>81.814097049809604</v>
      </c>
      <c r="J53" s="5">
        <v>-40.1216466742287</v>
      </c>
      <c r="K53" s="5">
        <v>1.8122673667703599</v>
      </c>
      <c r="L53" s="5">
        <v>152.4384157149984</v>
      </c>
      <c r="M53" s="5">
        <v>-44.385391267751999</v>
      </c>
      <c r="N53" s="5">
        <v>12.858997743877101</v>
      </c>
      <c r="O53" s="5">
        <v>60</v>
      </c>
      <c r="P53" s="5">
        <v>2.2183119053132101</v>
      </c>
      <c r="Q53" s="5">
        <v>-52.482264572045302</v>
      </c>
      <c r="R53" s="5">
        <v>5</v>
      </c>
      <c r="S53" s="5">
        <v>0.48027958062905501</v>
      </c>
      <c r="U53" s="3">
        <f t="shared" si="0"/>
        <v>-0.24357296577562279</v>
      </c>
      <c r="V53" s="2">
        <f t="shared" si="1"/>
        <v>-1.4588134279892477</v>
      </c>
      <c r="W53" s="5">
        <f t="shared" si="2"/>
        <v>-0.37902427791737986</v>
      </c>
      <c r="X53" s="5">
        <f t="shared" si="3"/>
        <v>0.26425113105758702</v>
      </c>
      <c r="Y53" s="5">
        <f t="shared" si="4"/>
        <v>-7.3256355597896575E-2</v>
      </c>
      <c r="Z53" s="5">
        <f t="shared" si="5"/>
        <v>-0.18510098018978569</v>
      </c>
      <c r="AA53" s="5">
        <f t="shared" si="6"/>
        <v>-0.66598868596852834</v>
      </c>
      <c r="AB53" s="5">
        <f t="shared" si="7"/>
        <v>-0.71048001096726832</v>
      </c>
      <c r="AC53" s="5">
        <f t="shared" si="8"/>
        <v>-1.0205789550294273</v>
      </c>
      <c r="AD53" s="5">
        <f t="shared" si="9"/>
        <v>2.0301180120888302</v>
      </c>
      <c r="AE53" s="5">
        <f t="shared" si="10"/>
        <v>-1.2604369675339457</v>
      </c>
    </row>
    <row r="54" spans="1:31" ht="16" x14ac:dyDescent="0.2">
      <c r="A54" s="5" t="s">
        <v>76</v>
      </c>
      <c r="D54" s="3">
        <v>54</v>
      </c>
      <c r="E54" s="5" t="s">
        <v>58</v>
      </c>
      <c r="F54" s="9" t="s">
        <v>21</v>
      </c>
      <c r="G54" s="5">
        <v>53.842892544028601</v>
      </c>
      <c r="H54" s="5">
        <v>-14.107017559720799</v>
      </c>
      <c r="I54" s="5">
        <v>93.833005266907406</v>
      </c>
      <c r="J54" s="5">
        <v>-39.990112722878848</v>
      </c>
      <c r="K54" s="5">
        <v>1.62453071176393</v>
      </c>
      <c r="L54" s="5">
        <v>227.04547010353221</v>
      </c>
      <c r="M54" s="5">
        <v>-45.923179851857796</v>
      </c>
      <c r="N54" s="5">
        <v>30.561220533556099</v>
      </c>
      <c r="O54" s="5">
        <v>160</v>
      </c>
      <c r="P54" s="5">
        <v>14.603895922634152</v>
      </c>
      <c r="Q54" s="5">
        <v>-58.202532993510999</v>
      </c>
      <c r="R54" s="5">
        <v>4</v>
      </c>
      <c r="S54" s="5">
        <v>0.36115054172515149</v>
      </c>
      <c r="U54" s="3">
        <f t="shared" si="0"/>
        <v>0.88413154012450312</v>
      </c>
      <c r="V54" s="2">
        <f t="shared" si="1"/>
        <v>-1.1031682749691132</v>
      </c>
      <c r="W54" s="5">
        <f t="shared" si="2"/>
        <v>0.58958357296043473</v>
      </c>
      <c r="X54" s="5">
        <f t="shared" si="3"/>
        <v>0.28097196641538169</v>
      </c>
      <c r="Y54" s="5">
        <f t="shared" si="4"/>
        <v>-0.53670667274090123</v>
      </c>
      <c r="Z54" s="5">
        <f t="shared" si="5"/>
        <v>1.1688522358386444</v>
      </c>
      <c r="AA54" s="5">
        <f t="shared" si="6"/>
        <v>-0.82150816232966206</v>
      </c>
      <c r="AB54" s="5">
        <f t="shared" si="7"/>
        <v>0.70404769362744501</v>
      </c>
      <c r="AC54" s="5">
        <f t="shared" si="8"/>
        <v>1.1637174238784784</v>
      </c>
      <c r="AD54" s="5">
        <f t="shared" si="9"/>
        <v>1.0630579725325693</v>
      </c>
      <c r="AE54" s="5">
        <f t="shared" si="10"/>
        <v>-1.4312364562336524</v>
      </c>
    </row>
    <row r="55" spans="1:31" ht="16" x14ac:dyDescent="0.2">
      <c r="A55" s="5" t="s">
        <v>77</v>
      </c>
      <c r="D55" s="5">
        <v>55</v>
      </c>
      <c r="E55" s="5" t="s">
        <v>58</v>
      </c>
      <c r="F55" s="4" t="s">
        <v>21</v>
      </c>
      <c r="G55" s="5">
        <v>53.957984685786997</v>
      </c>
      <c r="H55" s="5">
        <v>-14.567386394582599</v>
      </c>
      <c r="I55" s="5">
        <v>93.389078092746999</v>
      </c>
      <c r="J55" s="5">
        <v>-39.431093406960002</v>
      </c>
      <c r="K55" s="5">
        <v>1.63701607516564</v>
      </c>
      <c r="L55" s="5">
        <v>211.495568850008</v>
      </c>
      <c r="M55" s="5">
        <v>-45.456574058426</v>
      </c>
      <c r="N55" s="5">
        <v>91.367788963230197</v>
      </c>
      <c r="O55" s="5">
        <v>140</v>
      </c>
      <c r="P55" s="5">
        <v>5.5939523844530399</v>
      </c>
      <c r="Q55" s="5">
        <v>-57.6044025394092</v>
      </c>
      <c r="R55" s="5">
        <v>5</v>
      </c>
      <c r="S55" s="5">
        <v>0.31414514145141398</v>
      </c>
      <c r="U55" s="3">
        <f t="shared" si="0"/>
        <v>0.89481344989003231</v>
      </c>
      <c r="V55" s="2">
        <f t="shared" si="1"/>
        <v>-1.19207954951003</v>
      </c>
      <c r="W55" s="5">
        <f t="shared" si="2"/>
        <v>0.55380733286084916</v>
      </c>
      <c r="X55" s="5">
        <f t="shared" si="3"/>
        <v>0.35203551956938345</v>
      </c>
      <c r="Y55" s="5">
        <f t="shared" si="4"/>
        <v>-0.50588506452608595</v>
      </c>
      <c r="Z55" s="5">
        <f t="shared" si="5"/>
        <v>0.88665588076622992</v>
      </c>
      <c r="AA55" s="5">
        <f t="shared" si="6"/>
        <v>-0.77431943339018916</v>
      </c>
      <c r="AB55" s="5">
        <f t="shared" si="7"/>
        <v>0.4211421527085023</v>
      </c>
      <c r="AC55" s="5">
        <f t="shared" si="8"/>
        <v>-0.42525787329694253</v>
      </c>
      <c r="AD55" s="5">
        <f t="shared" si="9"/>
        <v>1.1641770141553189</v>
      </c>
      <c r="AE55" s="5">
        <f t="shared" si="10"/>
        <v>-1.2604369675339457</v>
      </c>
    </row>
    <row r="56" spans="1:31" ht="16" x14ac:dyDescent="0.2">
      <c r="A56" s="5" t="s">
        <v>78</v>
      </c>
      <c r="D56" s="3">
        <v>56</v>
      </c>
      <c r="E56" s="5" t="s">
        <v>20</v>
      </c>
      <c r="F56" s="9" t="s">
        <v>79</v>
      </c>
      <c r="G56" s="5">
        <v>44.027176807688001</v>
      </c>
      <c r="H56" s="5">
        <v>-12.693026889939404</v>
      </c>
      <c r="I56" s="5">
        <v>79.117649762432507</v>
      </c>
      <c r="J56" s="5">
        <v>-35.090472954744499</v>
      </c>
      <c r="K56" s="5">
        <v>1.6010823757875701</v>
      </c>
      <c r="L56" s="5">
        <v>131.57775868960439</v>
      </c>
      <c r="M56" s="5">
        <v>-41.8192073140644</v>
      </c>
      <c r="N56" s="5">
        <v>32.743785858949899</v>
      </c>
      <c r="O56" s="5">
        <v>280</v>
      </c>
      <c r="P56" s="5">
        <v>27.9533657053376</v>
      </c>
      <c r="Q56" s="5">
        <v>-62.1759841286108</v>
      </c>
      <c r="R56" s="5">
        <v>2</v>
      </c>
      <c r="S56" s="5">
        <v>1</v>
      </c>
      <c r="U56" s="3">
        <f t="shared" si="0"/>
        <v>-2.6882784378901417E-2</v>
      </c>
      <c r="V56" s="2">
        <f t="shared" si="1"/>
        <v>-0.83008351527427193</v>
      </c>
      <c r="W56" s="5">
        <f t="shared" si="2"/>
        <v>-0.59633187065830462</v>
      </c>
      <c r="X56" s="5">
        <f t="shared" si="3"/>
        <v>0.90382309370777558</v>
      </c>
      <c r="Y56" s="5">
        <f t="shared" si="4"/>
        <v>-0.59459168589588451</v>
      </c>
      <c r="Z56" s="5">
        <f t="shared" si="5"/>
        <v>-0.56367582005558647</v>
      </c>
      <c r="AA56" s="5">
        <f t="shared" si="6"/>
        <v>-0.40646563523922058</v>
      </c>
      <c r="AB56" s="5">
        <f t="shared" si="7"/>
        <v>2.4014809391411007</v>
      </c>
      <c r="AC56" s="5">
        <f t="shared" si="8"/>
        <v>3.5180027337937165</v>
      </c>
      <c r="AD56" s="5">
        <f t="shared" si="9"/>
        <v>0.39131225558946336</v>
      </c>
      <c r="AE56" s="5">
        <f t="shared" si="10"/>
        <v>-1.7728354336330654</v>
      </c>
    </row>
    <row r="57" spans="1:31" ht="16" x14ac:dyDescent="0.2">
      <c r="A57" s="5" t="s">
        <v>80</v>
      </c>
      <c r="D57" s="3">
        <v>57</v>
      </c>
      <c r="E57" s="5" t="s">
        <v>20</v>
      </c>
      <c r="F57" s="9" t="s">
        <v>79</v>
      </c>
      <c r="G57" s="5">
        <v>49.321415509508597</v>
      </c>
      <c r="H57" s="5">
        <v>-12.923211123909695</v>
      </c>
      <c r="I57" s="5">
        <v>82.405995728583406</v>
      </c>
      <c r="J57" s="5">
        <v>-33.084580219074802</v>
      </c>
      <c r="K57" s="5">
        <v>1.5150933622445999</v>
      </c>
      <c r="L57" s="5">
        <v>143.06505076218039</v>
      </c>
      <c r="M57" s="5">
        <v>-42.173061294735199</v>
      </c>
      <c r="N57" s="5">
        <v>211.231168317098</v>
      </c>
      <c r="O57" s="5">
        <v>219</v>
      </c>
      <c r="P57" s="5">
        <v>0.38591448268113199</v>
      </c>
      <c r="Q57" s="5">
        <v>-67.593853396273303</v>
      </c>
      <c r="R57" s="5">
        <v>5</v>
      </c>
      <c r="S57" s="5">
        <v>0.32854615464668502</v>
      </c>
      <c r="U57" s="3">
        <f t="shared" si="0"/>
        <v>0.46448508162828839</v>
      </c>
      <c r="V57" s="2">
        <f t="shared" si="1"/>
        <v>-0.8745391171128869</v>
      </c>
      <c r="W57" s="5">
        <f t="shared" si="2"/>
        <v>-0.33132296455108567</v>
      </c>
      <c r="X57" s="5">
        <f t="shared" si="3"/>
        <v>1.158815830064641</v>
      </c>
      <c r="Y57" s="5">
        <f t="shared" si="4"/>
        <v>-0.80686581848836492</v>
      </c>
      <c r="Z57" s="5">
        <f t="shared" si="5"/>
        <v>-0.35520684654371293</v>
      </c>
      <c r="AA57" s="5">
        <f t="shared" si="6"/>
        <v>-0.44225155948850564</v>
      </c>
      <c r="AB57" s="5">
        <f t="shared" si="7"/>
        <v>1.5386190393383257</v>
      </c>
      <c r="AC57" s="5">
        <f t="shared" si="8"/>
        <v>-1.3437368335257525</v>
      </c>
      <c r="AD57" s="5">
        <f t="shared" si="9"/>
        <v>-0.52462463447589225</v>
      </c>
      <c r="AE57" s="5">
        <f t="shared" si="10"/>
        <v>-1.2604369675339457</v>
      </c>
    </row>
    <row r="58" spans="1:31" ht="16" x14ac:dyDescent="0.2">
      <c r="A58" s="5" t="s">
        <v>81</v>
      </c>
      <c r="D58" s="3">
        <v>58</v>
      </c>
      <c r="E58" s="5" t="s">
        <v>20</v>
      </c>
      <c r="F58" s="9" t="s">
        <v>79</v>
      </c>
      <c r="G58" s="5">
        <v>54.747187935910844</v>
      </c>
      <c r="H58" s="5">
        <v>-7.7933869649167526</v>
      </c>
      <c r="I58" s="5">
        <v>92.073738075078893</v>
      </c>
      <c r="J58" s="5">
        <v>-37.326550139168098</v>
      </c>
      <c r="K58" s="5">
        <v>1.6206677855450149</v>
      </c>
      <c r="L58" s="5">
        <v>196.253231123321</v>
      </c>
      <c r="M58" s="5">
        <v>-43.539917787721194</v>
      </c>
      <c r="N58" s="5">
        <v>158.8655354753285</v>
      </c>
      <c r="O58" s="5">
        <v>80</v>
      </c>
      <c r="P58" s="5">
        <v>10.416109390255301</v>
      </c>
      <c r="Q58" s="5">
        <v>-63.271616450774701</v>
      </c>
      <c r="R58" s="5">
        <v>15</v>
      </c>
      <c r="S58" s="5">
        <v>0.83054711246200252</v>
      </c>
      <c r="U58" s="3">
        <f t="shared" si="0"/>
        <v>0.96806083042954971</v>
      </c>
      <c r="V58" s="2">
        <f t="shared" si="1"/>
        <v>0.11618651331291795</v>
      </c>
      <c r="W58" s="5">
        <f t="shared" si="2"/>
        <v>0.44780363895838132</v>
      </c>
      <c r="X58" s="5">
        <f t="shared" si="3"/>
        <v>0.61956889116639979</v>
      </c>
      <c r="Y58" s="5">
        <f t="shared" si="4"/>
        <v>-0.54624276669759253</v>
      </c>
      <c r="Z58" s="5">
        <f t="shared" si="5"/>
        <v>0.6100411242397874</v>
      </c>
      <c r="AA58" s="5">
        <f t="shared" si="6"/>
        <v>-0.5804843492536903</v>
      </c>
      <c r="AB58" s="5">
        <f t="shared" si="7"/>
        <v>-0.42757447004832561</v>
      </c>
      <c r="AC58" s="5">
        <f t="shared" si="8"/>
        <v>0.42516791781384328</v>
      </c>
      <c r="AD58" s="5">
        <f t="shared" si="9"/>
        <v>0.20608629087163022</v>
      </c>
      <c r="AE58" s="5">
        <f t="shared" si="10"/>
        <v>0.44755791946311996</v>
      </c>
    </row>
    <row r="59" spans="1:31" ht="16" x14ac:dyDescent="0.2">
      <c r="A59" s="5" t="s">
        <v>82</v>
      </c>
      <c r="D59" s="5">
        <v>59</v>
      </c>
      <c r="E59" s="5" t="s">
        <v>20</v>
      </c>
      <c r="F59" s="9" t="s">
        <v>79</v>
      </c>
      <c r="G59" s="5">
        <v>45.276748688753599</v>
      </c>
      <c r="H59" s="5">
        <v>-14.139900378221903</v>
      </c>
      <c r="I59" s="5">
        <v>79.249183065718</v>
      </c>
      <c r="J59" s="5">
        <v>-33.9724343769645</v>
      </c>
      <c r="K59" s="5">
        <v>1.56954106202488</v>
      </c>
      <c r="L59" s="5">
        <v>137.4967841466472</v>
      </c>
      <c r="M59" s="5">
        <v>-43.172354256091992</v>
      </c>
      <c r="N59" s="5">
        <v>220.675220609842</v>
      </c>
      <c r="O59" s="5">
        <v>240</v>
      </c>
      <c r="P59" s="5">
        <v>0.71742980795325195</v>
      </c>
      <c r="Q59" s="5">
        <v>-70.572429621026998</v>
      </c>
      <c r="R59" s="5">
        <v>4</v>
      </c>
      <c r="S59" s="5">
        <v>0.85535647629712597</v>
      </c>
      <c r="U59" s="3">
        <f t="shared" si="0"/>
        <v>8.9092241154165211E-2</v>
      </c>
      <c r="V59" s="2">
        <f t="shared" si="1"/>
        <v>-1.1095189509533128</v>
      </c>
      <c r="W59" s="5">
        <f t="shared" si="2"/>
        <v>-0.58573155755890172</v>
      </c>
      <c r="X59" s="5">
        <f t="shared" si="3"/>
        <v>1.0459501931438666</v>
      </c>
      <c r="Y59" s="5">
        <f t="shared" si="4"/>
        <v>-0.67245517966019541</v>
      </c>
      <c r="Z59" s="5">
        <f t="shared" si="5"/>
        <v>-0.45625858425933014</v>
      </c>
      <c r="AA59" s="5">
        <f t="shared" si="6"/>
        <v>-0.54331195211194527</v>
      </c>
      <c r="AB59" s="5">
        <f t="shared" si="7"/>
        <v>1.8356698573032153</v>
      </c>
      <c r="AC59" s="5">
        <f t="shared" si="8"/>
        <v>-1.2852714657617703</v>
      </c>
      <c r="AD59" s="5">
        <f t="shared" si="9"/>
        <v>-1.0281782843225526</v>
      </c>
      <c r="AE59" s="5">
        <f t="shared" si="10"/>
        <v>-1.4312364562336524</v>
      </c>
    </row>
    <row r="60" spans="1:31" ht="16" x14ac:dyDescent="0.2">
      <c r="A60" s="5" t="s">
        <v>83</v>
      </c>
      <c r="D60" s="3">
        <v>60</v>
      </c>
      <c r="E60" s="5" t="s">
        <v>20</v>
      </c>
      <c r="F60" s="9" t="s">
        <v>79</v>
      </c>
      <c r="G60" s="5">
        <v>42.942022272522401</v>
      </c>
      <c r="H60" s="5">
        <v>-10.424065982848298</v>
      </c>
      <c r="I60" s="5">
        <v>77.4405924496008</v>
      </c>
      <c r="J60" s="5">
        <v>-34.498570177078399</v>
      </c>
      <c r="K60" s="5">
        <v>1.5843237887253701</v>
      </c>
      <c r="L60" s="5">
        <v>113.7768370428568</v>
      </c>
      <c r="M60" s="5">
        <v>-42.673788385827194</v>
      </c>
      <c r="N60" s="5">
        <v>94.460379071899098</v>
      </c>
      <c r="O60" s="5">
        <v>240</v>
      </c>
      <c r="P60" s="5">
        <v>0.14066077800360699</v>
      </c>
      <c r="Q60" s="5">
        <v>-70.494120833907502</v>
      </c>
      <c r="R60" s="5">
        <v>6</v>
      </c>
      <c r="S60" s="5">
        <v>0.47325792487082802</v>
      </c>
      <c r="U60" s="3">
        <f t="shared" si="0"/>
        <v>-0.12759793876908471</v>
      </c>
      <c r="V60" s="2">
        <f t="shared" si="1"/>
        <v>-0.39187790521479571</v>
      </c>
      <c r="W60" s="5">
        <f t="shared" si="2"/>
        <v>-0.73148648289421425</v>
      </c>
      <c r="X60" s="5">
        <f t="shared" si="3"/>
        <v>0.97906685238459112</v>
      </c>
      <c r="Y60" s="5">
        <f t="shared" si="4"/>
        <v>-0.63596225622259683</v>
      </c>
      <c r="Z60" s="5">
        <f t="shared" si="5"/>
        <v>-0.88672322233431955</v>
      </c>
      <c r="AA60" s="5">
        <f t="shared" si="6"/>
        <v>-0.49289103998103562</v>
      </c>
      <c r="AB60" s="5">
        <f t="shared" si="7"/>
        <v>1.8356698573032153</v>
      </c>
      <c r="AC60" s="5">
        <f t="shared" si="8"/>
        <v>-1.3869892775196484</v>
      </c>
      <c r="AD60" s="5">
        <f t="shared" si="9"/>
        <v>-1.0149395176791547</v>
      </c>
      <c r="AE60" s="5">
        <f t="shared" si="10"/>
        <v>-1.0896374788342391</v>
      </c>
    </row>
    <row r="61" spans="1:31" ht="16" x14ac:dyDescent="0.2">
      <c r="A61" s="5" t="s">
        <v>84</v>
      </c>
      <c r="D61" s="3">
        <v>61</v>
      </c>
      <c r="E61" s="5" t="s">
        <v>20</v>
      </c>
      <c r="F61" s="9" t="s">
        <v>79</v>
      </c>
      <c r="G61" s="5">
        <v>45.112331336463903</v>
      </c>
      <c r="H61" s="5">
        <v>-11.936706534403598</v>
      </c>
      <c r="I61" s="5">
        <v>79.512251050859305</v>
      </c>
      <c r="J61" s="5">
        <v>-34.399919714395502</v>
      </c>
      <c r="K61" s="5">
        <v>1.5682167486909899</v>
      </c>
      <c r="L61" s="5">
        <v>144.8282339023084</v>
      </c>
      <c r="M61" s="5">
        <v>-45.730978125400803</v>
      </c>
      <c r="N61" s="5">
        <v>161.82328621523899</v>
      </c>
      <c r="O61" s="5">
        <v>180</v>
      </c>
      <c r="P61" s="5">
        <v>0.51199115342993895</v>
      </c>
      <c r="Q61" s="5">
        <v>-61.483795024336203</v>
      </c>
      <c r="R61" s="5">
        <v>6</v>
      </c>
      <c r="S61" s="5">
        <v>0.62299690750632497</v>
      </c>
      <c r="U61" s="3">
        <f t="shared" si="0"/>
        <v>7.3832369418242463E-2</v>
      </c>
      <c r="V61" s="2">
        <f t="shared" si="1"/>
        <v>-0.68401496831862363</v>
      </c>
      <c r="W61" s="5">
        <f t="shared" si="2"/>
        <v>-0.56453082026065116</v>
      </c>
      <c r="X61" s="5">
        <f t="shared" si="3"/>
        <v>0.99160747879749078</v>
      </c>
      <c r="Y61" s="5">
        <f t="shared" si="4"/>
        <v>-0.67572440502573217</v>
      </c>
      <c r="Z61" s="5">
        <f t="shared" si="5"/>
        <v>-0.32320896775612318</v>
      </c>
      <c r="AA61" s="5">
        <f t="shared" si="6"/>
        <v>-0.80207043716819026</v>
      </c>
      <c r="AB61" s="5">
        <f t="shared" si="7"/>
        <v>0.98695323454638761</v>
      </c>
      <c r="AC61" s="5">
        <f t="shared" si="8"/>
        <v>-1.321502208578212</v>
      </c>
      <c r="AD61" s="5">
        <f t="shared" si="9"/>
        <v>0.50833271219046461</v>
      </c>
      <c r="AE61" s="5">
        <f t="shared" si="10"/>
        <v>-1.0896374788342391</v>
      </c>
    </row>
    <row r="62" spans="1:31" ht="16" x14ac:dyDescent="0.2">
      <c r="A62" s="5" t="s">
        <v>85</v>
      </c>
      <c r="D62" s="3">
        <v>62</v>
      </c>
      <c r="E62" s="5" t="s">
        <v>20</v>
      </c>
      <c r="F62" s="9" t="s">
        <v>79</v>
      </c>
      <c r="G62" s="5">
        <v>49.255648570029003</v>
      </c>
      <c r="H62" s="5">
        <v>-13.482230893977402</v>
      </c>
      <c r="I62" s="5">
        <v>86.384897779605595</v>
      </c>
      <c r="J62" s="5">
        <v>-37.129249209576599</v>
      </c>
      <c r="K62" s="5">
        <v>1.50973524699922</v>
      </c>
      <c r="L62" s="5">
        <v>179.2402511141772</v>
      </c>
      <c r="M62" s="5">
        <v>-46.322813978149604</v>
      </c>
      <c r="N62" s="5">
        <v>152.47924924102099</v>
      </c>
      <c r="O62" s="5">
        <v>159</v>
      </c>
      <c r="P62" s="5">
        <v>1.14184637332436</v>
      </c>
      <c r="Q62" s="5">
        <v>-64.338808920472999</v>
      </c>
      <c r="R62" s="5">
        <v>7</v>
      </c>
      <c r="S62" s="5">
        <v>0.201890614449696</v>
      </c>
      <c r="U62" s="3">
        <f t="shared" si="0"/>
        <v>0.45838113306722339</v>
      </c>
      <c r="V62" s="2">
        <f t="shared" si="1"/>
        <v>-0.98250289851266548</v>
      </c>
      <c r="W62" s="5">
        <f t="shared" si="2"/>
        <v>-1.0661911576961796E-2</v>
      </c>
      <c r="X62" s="5">
        <f t="shared" si="3"/>
        <v>0.64465014452937819</v>
      </c>
      <c r="Y62" s="5">
        <f t="shared" si="4"/>
        <v>-0.8200929648316031</v>
      </c>
      <c r="Z62" s="5">
        <f t="shared" si="5"/>
        <v>0.30129312197114672</v>
      </c>
      <c r="AA62" s="5">
        <f t="shared" si="6"/>
        <v>-0.86192391954058001</v>
      </c>
      <c r="AB62" s="5">
        <f t="shared" si="7"/>
        <v>0.68990241658149787</v>
      </c>
      <c r="AC62" s="5">
        <f t="shared" si="8"/>
        <v>-1.2104222244508898</v>
      </c>
      <c r="AD62" s="5">
        <f t="shared" si="9"/>
        <v>2.5668325153835759E-2</v>
      </c>
      <c r="AE62" s="5">
        <f t="shared" si="10"/>
        <v>-0.9188379901345326</v>
      </c>
    </row>
    <row r="63" spans="1:31" ht="16" x14ac:dyDescent="0.2">
      <c r="A63" s="5" t="s">
        <v>86</v>
      </c>
      <c r="D63" s="5">
        <v>63</v>
      </c>
      <c r="E63" s="5" t="s">
        <v>20</v>
      </c>
      <c r="F63" s="9" t="s">
        <v>79</v>
      </c>
      <c r="G63" s="5">
        <v>45.3753991000574</v>
      </c>
      <c r="H63" s="5">
        <v>-11.805172477860502</v>
      </c>
      <c r="I63" s="5">
        <v>78.755930704426305</v>
      </c>
      <c r="J63" s="5">
        <v>-33.380531604368798</v>
      </c>
      <c r="K63" s="5">
        <v>1.6184465380983899</v>
      </c>
      <c r="L63" s="5">
        <v>126.43697290298479</v>
      </c>
      <c r="M63" s="5">
        <v>-44.437537661225605</v>
      </c>
      <c r="N63" s="5">
        <v>193.73489868857899</v>
      </c>
      <c r="O63" s="5">
        <v>100</v>
      </c>
      <c r="P63" s="5">
        <v>1.0395786488849501</v>
      </c>
      <c r="Q63" s="5">
        <v>-58.853344635645001</v>
      </c>
      <c r="R63" s="5">
        <v>11</v>
      </c>
      <c r="S63" s="5">
        <v>0.26249833355552599</v>
      </c>
      <c r="U63" s="3">
        <f t="shared" si="0"/>
        <v>9.8248164189220472E-2</v>
      </c>
      <c r="V63" s="2">
        <f t="shared" si="1"/>
        <v>-0.65861172698867032</v>
      </c>
      <c r="W63" s="5">
        <f t="shared" si="2"/>
        <v>-0.62548293105982389</v>
      </c>
      <c r="X63" s="5">
        <f t="shared" si="3"/>
        <v>1.121193951176124</v>
      </c>
      <c r="Y63" s="5">
        <f t="shared" si="4"/>
        <v>-0.55172618086386804</v>
      </c>
      <c r="Z63" s="5">
        <f t="shared" si="5"/>
        <v>-0.65696972511259377</v>
      </c>
      <c r="AA63" s="5">
        <f t="shared" si="6"/>
        <v>-0.67126234965088205</v>
      </c>
      <c r="AB63" s="5">
        <f t="shared" si="7"/>
        <v>-0.14466892912938298</v>
      </c>
      <c r="AC63" s="5">
        <f t="shared" si="8"/>
        <v>-1.2284579521048913</v>
      </c>
      <c r="AD63" s="5">
        <f t="shared" si="9"/>
        <v>0.9530327279087305</v>
      </c>
      <c r="AE63" s="5">
        <f t="shared" si="10"/>
        <v>-0.23564003533570632</v>
      </c>
    </row>
    <row r="64" spans="1:31" ht="16" x14ac:dyDescent="0.2">
      <c r="A64" s="5" t="s">
        <v>87</v>
      </c>
      <c r="D64" s="3">
        <v>64</v>
      </c>
      <c r="E64" s="5" t="s">
        <v>20</v>
      </c>
      <c r="F64" s="9" t="s">
        <v>79</v>
      </c>
      <c r="G64" s="5">
        <v>37.746433800748704</v>
      </c>
      <c r="H64" s="5">
        <v>-13.235604404491099</v>
      </c>
      <c r="I64" s="5">
        <v>71.981936078101498</v>
      </c>
      <c r="J64" s="5">
        <v>-34.2355022773529</v>
      </c>
      <c r="K64" s="5">
        <v>1.7202185459402899</v>
      </c>
      <c r="L64" s="5">
        <v>91.8932534685446</v>
      </c>
      <c r="M64" s="5">
        <v>-42.356671830810996</v>
      </c>
      <c r="N64" s="5">
        <v>214.73282027165999</v>
      </c>
      <c r="O64" s="5">
        <v>129.5</v>
      </c>
      <c r="P64" s="5">
        <v>4.5023524851650949</v>
      </c>
      <c r="Q64" s="5">
        <v>-60.147432008763204</v>
      </c>
      <c r="R64" s="5">
        <v>5</v>
      </c>
      <c r="S64" s="5">
        <v>0.87977390772991093</v>
      </c>
      <c r="U64" s="3">
        <f t="shared" si="0"/>
        <v>-0.60980989856399992</v>
      </c>
      <c r="V64" s="2">
        <f t="shared" si="1"/>
        <v>-0.93487179524225861</v>
      </c>
      <c r="W64" s="5">
        <f t="shared" si="2"/>
        <v>-1.1714014336679335</v>
      </c>
      <c r="X64" s="5">
        <f t="shared" si="3"/>
        <v>1.0125085227220942</v>
      </c>
      <c r="Y64" s="5">
        <f t="shared" si="4"/>
        <v>-0.30048984500290638</v>
      </c>
      <c r="Z64" s="5">
        <f t="shared" si="5"/>
        <v>-1.2838619192243632</v>
      </c>
      <c r="AA64" s="5">
        <f t="shared" si="6"/>
        <v>-0.46082044127110733</v>
      </c>
      <c r="AB64" s="5">
        <f t="shared" si="7"/>
        <v>0.27261674372605743</v>
      </c>
      <c r="AC64" s="5">
        <f t="shared" si="8"/>
        <v>-0.61777020892006684</v>
      </c>
      <c r="AD64" s="5">
        <f t="shared" si="9"/>
        <v>0.73425624854969251</v>
      </c>
      <c r="AE64" s="5">
        <f t="shared" si="10"/>
        <v>-1.2604369675339457</v>
      </c>
    </row>
    <row r="65" spans="1:31" ht="16" x14ac:dyDescent="0.2">
      <c r="A65" s="5" t="s">
        <v>88</v>
      </c>
      <c r="D65" s="3">
        <v>65</v>
      </c>
      <c r="E65" s="5" t="s">
        <v>20</v>
      </c>
      <c r="F65" s="9" t="s">
        <v>79</v>
      </c>
      <c r="G65" s="5">
        <v>52.017860008619301</v>
      </c>
      <c r="H65" s="5">
        <v>-1.1509221942384968</v>
      </c>
      <c r="I65" s="5">
        <v>100.19596174601099</v>
      </c>
      <c r="J65" s="5">
        <v>-48.178101737391401</v>
      </c>
      <c r="K65" s="5">
        <v>1.95156163702439</v>
      </c>
      <c r="L65" s="5">
        <v>198.71739379234521</v>
      </c>
      <c r="M65" s="5">
        <v>-38.042075692584319</v>
      </c>
      <c r="N65" s="5">
        <v>92.306051183179406</v>
      </c>
      <c r="O65" s="5">
        <v>60</v>
      </c>
      <c r="P65" s="5">
        <v>3.9154459588403001</v>
      </c>
      <c r="Q65" s="5">
        <v>-67.965940667157597</v>
      </c>
      <c r="R65" s="5">
        <v>20</v>
      </c>
      <c r="S65" s="5">
        <v>0.19184339314845</v>
      </c>
      <c r="U65" s="3">
        <f t="shared" si="0"/>
        <v>0.71474697081723382</v>
      </c>
      <c r="V65" s="2">
        <f t="shared" si="1"/>
        <v>1.3990492184554917</v>
      </c>
      <c r="W65" s="5">
        <f t="shared" si="2"/>
        <v>1.1023763731988094</v>
      </c>
      <c r="X65" s="5">
        <f t="shared" si="3"/>
        <v>-0.75990010363249139</v>
      </c>
      <c r="Y65" s="5">
        <f t="shared" si="4"/>
        <v>0.27060815889035089</v>
      </c>
      <c r="Z65" s="5">
        <f t="shared" si="5"/>
        <v>0.65476023288020679</v>
      </c>
      <c r="AA65" s="5">
        <f t="shared" si="6"/>
        <v>-2.4477149961683414E-2</v>
      </c>
      <c r="AB65" s="5">
        <f t="shared" si="7"/>
        <v>-0.71048001096726832</v>
      </c>
      <c r="AC65" s="5">
        <f t="shared" si="8"/>
        <v>-0.72127584889762886</v>
      </c>
      <c r="AD65" s="5">
        <f t="shared" si="9"/>
        <v>-0.58752915300328445</v>
      </c>
      <c r="AE65" s="5">
        <f t="shared" si="10"/>
        <v>1.3015553629616528</v>
      </c>
    </row>
    <row r="66" spans="1:31" ht="16" x14ac:dyDescent="0.2">
      <c r="A66" s="5" t="s">
        <v>89</v>
      </c>
      <c r="D66" s="3">
        <v>66</v>
      </c>
      <c r="E66" s="5" t="s">
        <v>20</v>
      </c>
      <c r="F66" s="9" t="s">
        <v>79</v>
      </c>
      <c r="G66" s="5">
        <v>44.980797454527099</v>
      </c>
      <c r="H66" s="5">
        <v>-8.1879897009215057</v>
      </c>
      <c r="I66" s="5">
        <v>95.263442640930904</v>
      </c>
      <c r="J66" s="5">
        <v>-50.282645186403798</v>
      </c>
      <c r="K66" s="5">
        <v>1.9749429280841699</v>
      </c>
      <c r="L66" s="5">
        <v>180.06054354709642</v>
      </c>
      <c r="M66" s="5">
        <v>-39.292973722671398</v>
      </c>
      <c r="N66" s="5">
        <v>32.299496437477302</v>
      </c>
      <c r="O66" s="5">
        <v>120</v>
      </c>
      <c r="P66" s="5">
        <v>10.9105090540964</v>
      </c>
      <c r="Q66" s="5">
        <v>-69.011559301674595</v>
      </c>
      <c r="R66" s="5">
        <v>9</v>
      </c>
      <c r="S66" s="5">
        <v>5.3998252997697199E-2</v>
      </c>
      <c r="U66" s="3">
        <f t="shared" si="0"/>
        <v>6.1624472019754704E-2</v>
      </c>
      <c r="V66" s="2">
        <f t="shared" si="1"/>
        <v>3.9976679938667541E-2</v>
      </c>
      <c r="W66" s="5">
        <f t="shared" si="2"/>
        <v>0.70486300147767567</v>
      </c>
      <c r="X66" s="5">
        <f t="shared" si="3"/>
        <v>-1.0274334982665867</v>
      </c>
      <c r="Y66" s="5">
        <f t="shared" si="4"/>
        <v>0.32832766367484162</v>
      </c>
      <c r="Z66" s="5">
        <f t="shared" si="5"/>
        <v>0.31617961744717571</v>
      </c>
      <c r="AA66" s="5">
        <f t="shared" si="6"/>
        <v>-0.15098284042591451</v>
      </c>
      <c r="AB66" s="5">
        <f t="shared" si="7"/>
        <v>0.13823661178955968</v>
      </c>
      <c r="AC66" s="5">
        <f t="shared" si="8"/>
        <v>0.51235923587774423</v>
      </c>
      <c r="AD66" s="5">
        <f t="shared" si="9"/>
        <v>-0.76429987835286162</v>
      </c>
      <c r="AE66" s="5">
        <f t="shared" si="10"/>
        <v>-0.57723901273511946</v>
      </c>
    </row>
    <row r="67" spans="1:31" ht="16" x14ac:dyDescent="0.2">
      <c r="A67" s="5" t="s">
        <v>90</v>
      </c>
      <c r="D67" s="5">
        <v>67</v>
      </c>
      <c r="E67" s="5" t="s">
        <v>20</v>
      </c>
      <c r="F67" s="9" t="s">
        <v>79</v>
      </c>
      <c r="G67" s="5">
        <v>50.9984724585509</v>
      </c>
      <c r="H67" s="5">
        <v>-2.3018443771902</v>
      </c>
      <c r="I67" s="5">
        <v>97.992768521578</v>
      </c>
      <c r="J67" s="5">
        <v>-46.9942960630271</v>
      </c>
      <c r="K67" s="5">
        <v>2.1178389569983902</v>
      </c>
      <c r="L67" s="5">
        <v>179.87263113302402</v>
      </c>
      <c r="M67" s="5">
        <v>-35.030577672397158</v>
      </c>
      <c r="N67" s="5">
        <v>169.16556529109599</v>
      </c>
      <c r="O67" s="5">
        <v>39</v>
      </c>
      <c r="P67" s="5">
        <v>2.1049419159403202</v>
      </c>
      <c r="Q67" s="5">
        <v>-64.816212023454398</v>
      </c>
      <c r="R67" s="5">
        <v>15</v>
      </c>
      <c r="S67" s="5">
        <v>0.19250253292806499</v>
      </c>
      <c r="U67" s="3">
        <f t="shared" ref="U67:U130" si="11">(G67- AVERAGE($G$2:$G$163))/_xlfn.STDEV.S($G$2:$G$163)</f>
        <v>0.62013576922196789</v>
      </c>
      <c r="V67" s="2">
        <f t="shared" ref="V67:V130" si="12">(H67- AVERAGE($H$2:$H$163))/_xlfn.STDEV.S($H$2:$H$163)</f>
        <v>1.176771013601835</v>
      </c>
      <c r="W67" s="5">
        <f t="shared" ref="W67:W130" si="13">(I67- AVERAGE($I$2:$I$163))/_xlfn.STDEV.S($I$2:$I$163)</f>
        <v>0.92482029109554587</v>
      </c>
      <c r="X67" s="5">
        <f t="shared" ref="X67:X130" si="14">(J67- AVERAGE($J$2:$J$163))/_xlfn.STDEV.S($J$2:$J$163)</f>
        <v>-0.60941257114728287</v>
      </c>
      <c r="Y67" s="5">
        <f t="shared" ref="Y67:Y130" si="15">(K67- AVERAGE($K$2:$K$163))/_xlfn.STDEV.S($K$2:$K$163)</f>
        <v>0.68108354886147793</v>
      </c>
      <c r="Z67" s="5">
        <f t="shared" ref="Z67:Z130" si="16">(L67- AVERAGE($L$2:$L$163))/_xlfn.STDEV.S($L$2:$L$163)</f>
        <v>0.31276942226589949</v>
      </c>
      <c r="AA67" s="5">
        <f t="shared" ref="AA67:AA130" si="17">(M67- AVERAGE($M$2:$M$163))/_xlfn.STDEV.S($M$2:$M$163)</f>
        <v>0.28008135697666492</v>
      </c>
      <c r="AB67" s="5">
        <f t="shared" ref="AB67:AB130" si="18">(O67- AVERAGE($O$2:$O$163))/_xlfn.STDEV.S($O$2:$O$163)</f>
        <v>-1.0075308289321581</v>
      </c>
      <c r="AC67" s="5">
        <f t="shared" ref="AC67:AC130" si="19">(P67- AVERAGE($P$2:$P$163))/_xlfn.STDEV.S($P$2:$P$163)</f>
        <v>-1.0405726555216868</v>
      </c>
      <c r="AD67" s="5">
        <f t="shared" ref="AD67:AD130" si="20">(Q67- AVERAGE($Q$2:$Q$163))/_xlfn.STDEV.S($Q$2:$Q$163)</f>
        <v>-5.5040730722108216E-2</v>
      </c>
      <c r="AE67" s="5">
        <f t="shared" ref="AE67:AE130" si="21">(R67- AVERAGE($R$2:$R$163))/_xlfn.STDEV.S($R$2:$R$163)</f>
        <v>0.44755791946311996</v>
      </c>
    </row>
    <row r="68" spans="1:31" ht="16" x14ac:dyDescent="0.2">
      <c r="A68" s="5" t="s">
        <v>91</v>
      </c>
      <c r="D68" s="3">
        <v>68</v>
      </c>
      <c r="E68" s="5" t="s">
        <v>20</v>
      </c>
      <c r="F68" s="9" t="s">
        <v>79</v>
      </c>
      <c r="G68" s="5">
        <v>54.736777241516897</v>
      </c>
      <c r="H68" s="5">
        <v>-2.5320288038513041</v>
      </c>
      <c r="I68" s="5">
        <v>102.037434780616</v>
      </c>
      <c r="J68" s="5">
        <v>-47.300657539099099</v>
      </c>
      <c r="K68" s="5">
        <v>2.0259056848928201</v>
      </c>
      <c r="L68" s="5">
        <v>207.06473333615639</v>
      </c>
      <c r="M68" s="5">
        <v>-36.9669202211076</v>
      </c>
      <c r="N68" s="5">
        <v>96.130223625824698</v>
      </c>
      <c r="O68" s="5">
        <v>100</v>
      </c>
      <c r="P68" s="5">
        <v>4.8576899122854504</v>
      </c>
      <c r="Q68" s="5">
        <v>-69.532863298637196</v>
      </c>
      <c r="R68" s="5">
        <v>18</v>
      </c>
      <c r="S68" s="5">
        <v>0.235738571968267</v>
      </c>
      <c r="U68" s="3">
        <f t="shared" si="11"/>
        <v>0.96709459506010031</v>
      </c>
      <c r="V68" s="2">
        <f t="shared" si="12"/>
        <v>1.1323153745487424</v>
      </c>
      <c r="W68" s="5">
        <f t="shared" si="13"/>
        <v>1.2507813036866551</v>
      </c>
      <c r="X68" s="5">
        <f t="shared" si="14"/>
        <v>-0.64835779972743712</v>
      </c>
      <c r="Y68" s="5">
        <f t="shared" si="15"/>
        <v>0.45413530526002804</v>
      </c>
      <c r="Z68" s="5">
        <f t="shared" si="16"/>
        <v>0.80624600474525199</v>
      </c>
      <c r="AA68" s="5">
        <f t="shared" si="17"/>
        <v>8.4255362204867859E-2</v>
      </c>
      <c r="AB68" s="5">
        <f t="shared" si="18"/>
        <v>-0.14466892912938298</v>
      </c>
      <c r="AC68" s="5">
        <f t="shared" si="19"/>
        <v>-0.5551036237785022</v>
      </c>
      <c r="AD68" s="5">
        <f t="shared" si="20"/>
        <v>-0.8524307538257152</v>
      </c>
      <c r="AE68" s="5">
        <f t="shared" si="21"/>
        <v>0.95995638556223972</v>
      </c>
    </row>
    <row r="69" spans="1:31" ht="16" x14ac:dyDescent="0.2">
      <c r="A69" s="5" t="s">
        <v>92</v>
      </c>
      <c r="D69" s="3">
        <v>69</v>
      </c>
      <c r="E69" s="5" t="s">
        <v>20</v>
      </c>
      <c r="F69" s="9" t="s">
        <v>79</v>
      </c>
      <c r="G69" s="5">
        <v>53.333198774924</v>
      </c>
      <c r="H69" s="5">
        <v>-3.3869996056275014</v>
      </c>
      <c r="I69" s="5">
        <v>100.59056276461401</v>
      </c>
      <c r="J69" s="5">
        <v>-47.2573639896899</v>
      </c>
      <c r="K69" s="5">
        <v>1.91931835830585</v>
      </c>
      <c r="L69" s="5">
        <v>202.66340929247002</v>
      </c>
      <c r="M69" s="5">
        <v>-38.645918095493556</v>
      </c>
      <c r="N69" s="5">
        <v>185.16383155418899</v>
      </c>
      <c r="O69" s="5">
        <v>19</v>
      </c>
      <c r="P69" s="5">
        <v>7.65795408380664</v>
      </c>
      <c r="Q69" s="5">
        <v>-58.1214478795928</v>
      </c>
      <c r="R69" s="5">
        <v>14</v>
      </c>
      <c r="S69" s="5">
        <v>3.1767289869823703E-2</v>
      </c>
      <c r="U69" s="3">
        <f t="shared" si="11"/>
        <v>0.8368259398772071</v>
      </c>
      <c r="V69" s="2">
        <f t="shared" si="12"/>
        <v>0.96719441516839888</v>
      </c>
      <c r="W69" s="5">
        <f t="shared" si="13"/>
        <v>1.1341774018512731</v>
      </c>
      <c r="X69" s="5">
        <f t="shared" si="14"/>
        <v>-0.6428542449091047</v>
      </c>
      <c r="Y69" s="5">
        <f t="shared" si="15"/>
        <v>0.1910117809356788</v>
      </c>
      <c r="Z69" s="5">
        <f t="shared" si="16"/>
        <v>0.72637169671134205</v>
      </c>
      <c r="AA69" s="5">
        <f t="shared" si="17"/>
        <v>-8.5544877525612614E-2</v>
      </c>
      <c r="AB69" s="5">
        <f t="shared" si="18"/>
        <v>-1.2904363698511008</v>
      </c>
      <c r="AC69" s="5">
        <f t="shared" si="19"/>
        <v>-6.1254736129332563E-2</v>
      </c>
      <c r="AD69" s="5">
        <f t="shared" si="20"/>
        <v>1.0767661008397835</v>
      </c>
      <c r="AE69" s="5">
        <f t="shared" si="21"/>
        <v>0.27675843076341339</v>
      </c>
    </row>
    <row r="70" spans="1:31" ht="16" x14ac:dyDescent="0.2">
      <c r="A70" s="5" t="s">
        <v>93</v>
      </c>
      <c r="D70" s="3">
        <v>70</v>
      </c>
      <c r="E70" s="5" t="s">
        <v>20</v>
      </c>
      <c r="F70" s="9" t="s">
        <v>79</v>
      </c>
      <c r="G70" s="5">
        <v>56.194060560897</v>
      </c>
      <c r="H70" s="5">
        <v>-2.7622133358994958</v>
      </c>
      <c r="I70" s="5">
        <v>106.674006697485</v>
      </c>
      <c r="J70" s="5">
        <v>-50.479946136588502</v>
      </c>
      <c r="K70" s="5">
        <v>2.0027646323524402</v>
      </c>
      <c r="L70" s="5">
        <v>254.75727641974001</v>
      </c>
      <c r="M70" s="5">
        <v>-38.78287391472324</v>
      </c>
      <c r="N70" s="5">
        <v>132.87305373893901</v>
      </c>
      <c r="O70" s="5">
        <v>60</v>
      </c>
      <c r="P70" s="5">
        <v>6.1769083315485798</v>
      </c>
      <c r="Q70" s="5">
        <v>-67.844250731051901</v>
      </c>
      <c r="R70" s="5">
        <v>17</v>
      </c>
      <c r="S70" s="5">
        <v>0.14389505549949499</v>
      </c>
      <c r="U70" s="3">
        <f t="shared" si="11"/>
        <v>1.10234769472964</v>
      </c>
      <c r="V70" s="2">
        <f t="shared" si="12"/>
        <v>1.0878597151421863</v>
      </c>
      <c r="W70" s="5">
        <f t="shared" si="13"/>
        <v>1.6244441920886232</v>
      </c>
      <c r="X70" s="5">
        <f t="shared" si="14"/>
        <v>-1.0525147542474109</v>
      </c>
      <c r="Y70" s="5">
        <f t="shared" si="15"/>
        <v>0.39700885790485019</v>
      </c>
      <c r="Z70" s="5">
        <f t="shared" si="16"/>
        <v>1.67176029984543</v>
      </c>
      <c r="AA70" s="5">
        <f t="shared" si="17"/>
        <v>-9.9395479299715206E-2</v>
      </c>
      <c r="AB70" s="5">
        <f t="shared" si="18"/>
        <v>-0.71048001096726832</v>
      </c>
      <c r="AC70" s="5">
        <f t="shared" si="19"/>
        <v>-0.32244894942844599</v>
      </c>
      <c r="AD70" s="5">
        <f t="shared" si="20"/>
        <v>-0.5669564340759059</v>
      </c>
      <c r="AE70" s="5">
        <f t="shared" si="21"/>
        <v>0.7891568968625331</v>
      </c>
    </row>
    <row r="71" spans="1:31" ht="16" x14ac:dyDescent="0.2">
      <c r="A71" s="5" t="s">
        <v>94</v>
      </c>
      <c r="D71" s="5">
        <v>71</v>
      </c>
      <c r="E71" s="5" t="s">
        <v>20</v>
      </c>
      <c r="F71" s="9" t="s">
        <v>79</v>
      </c>
      <c r="G71" s="5">
        <v>46.559204031621697</v>
      </c>
      <c r="H71" s="5">
        <v>-3.3869997071021984</v>
      </c>
      <c r="I71" s="5">
        <v>97.499519053205105</v>
      </c>
      <c r="J71" s="5">
        <v>-50.940315021583302</v>
      </c>
      <c r="K71" s="5">
        <v>2.06531378722919</v>
      </c>
      <c r="L71" s="5">
        <v>188.85235558687239</v>
      </c>
      <c r="M71" s="5">
        <v>-39.438254504618122</v>
      </c>
      <c r="N71" s="5">
        <v>18.6294983829373</v>
      </c>
      <c r="O71" s="5">
        <v>79</v>
      </c>
      <c r="P71" s="5">
        <v>7.2015126628739603</v>
      </c>
      <c r="Q71" s="5">
        <v>-63.817991874690797</v>
      </c>
      <c r="R71" s="5">
        <v>16</v>
      </c>
      <c r="S71" s="5">
        <v>0.11727078891258</v>
      </c>
      <c r="U71" s="3">
        <f t="shared" si="11"/>
        <v>0.20811924023108927</v>
      </c>
      <c r="V71" s="2">
        <f t="shared" si="12"/>
        <v>0.96719439557053744</v>
      </c>
      <c r="W71" s="5">
        <f t="shared" si="13"/>
        <v>0.88506915073592185</v>
      </c>
      <c r="X71" s="5">
        <f t="shared" si="14"/>
        <v>-1.111037685025756</v>
      </c>
      <c r="Y71" s="5">
        <f t="shared" si="15"/>
        <v>0.55141890459319554</v>
      </c>
      <c r="Z71" s="5">
        <f t="shared" si="16"/>
        <v>0.47573158318999703</v>
      </c>
      <c r="AA71" s="5">
        <f t="shared" si="17"/>
        <v>-0.16567536147023521</v>
      </c>
      <c r="AB71" s="5">
        <f t="shared" si="18"/>
        <v>-0.44171974709427275</v>
      </c>
      <c r="AC71" s="5">
        <f t="shared" si="19"/>
        <v>-0.14175181576098708</v>
      </c>
      <c r="AD71" s="5">
        <f t="shared" si="20"/>
        <v>0.11371687738709947</v>
      </c>
      <c r="AE71" s="5">
        <f t="shared" si="21"/>
        <v>0.61835740816282658</v>
      </c>
    </row>
    <row r="72" spans="1:31" ht="16" x14ac:dyDescent="0.2">
      <c r="A72" s="5" t="s">
        <v>95</v>
      </c>
      <c r="D72" s="3">
        <v>72</v>
      </c>
      <c r="E72" s="5" t="s">
        <v>20</v>
      </c>
      <c r="F72" s="9" t="s">
        <v>79</v>
      </c>
      <c r="G72" s="5">
        <v>56.358477903648897</v>
      </c>
      <c r="H72" s="5">
        <v>-5.9847955147928005</v>
      </c>
      <c r="I72" s="5">
        <v>104.273511712429</v>
      </c>
      <c r="J72" s="5">
        <v>-47.9150338087804</v>
      </c>
      <c r="K72" s="5">
        <v>1.82029399465654</v>
      </c>
      <c r="L72" s="5">
        <v>241.9626118874196</v>
      </c>
      <c r="M72" s="5">
        <v>-42.715639745781203</v>
      </c>
      <c r="N72" s="5">
        <v>88.474498629078795</v>
      </c>
      <c r="O72" s="5">
        <v>100</v>
      </c>
      <c r="P72" s="5">
        <v>4.1105756764219104</v>
      </c>
      <c r="Q72" s="5">
        <v>-67.616163598920394</v>
      </c>
      <c r="R72" s="5">
        <v>17</v>
      </c>
      <c r="S72" s="5">
        <v>0.451730418943533</v>
      </c>
      <c r="U72" s="3">
        <f t="shared" si="11"/>
        <v>1.1176075655803421</v>
      </c>
      <c r="V72" s="2">
        <f t="shared" si="12"/>
        <v>0.46548072868394391</v>
      </c>
      <c r="W72" s="5">
        <f t="shared" si="13"/>
        <v>1.4309874948147079</v>
      </c>
      <c r="X72" s="5">
        <f t="shared" si="14"/>
        <v>-0.72645842962301055</v>
      </c>
      <c r="Y72" s="5">
        <f t="shared" si="15"/>
        <v>-5.3441667628135896E-2</v>
      </c>
      <c r="Z72" s="5">
        <f t="shared" si="16"/>
        <v>1.4395654044227459</v>
      </c>
      <c r="AA72" s="5">
        <f t="shared" si="17"/>
        <v>-0.49712354739611281</v>
      </c>
      <c r="AB72" s="5">
        <f t="shared" si="18"/>
        <v>-0.14466892912938298</v>
      </c>
      <c r="AC72" s="5">
        <f t="shared" si="19"/>
        <v>-0.6868631692101167</v>
      </c>
      <c r="AD72" s="5">
        <f t="shared" si="20"/>
        <v>-0.52839636402855472</v>
      </c>
      <c r="AE72" s="5">
        <f t="shared" si="21"/>
        <v>0.7891568968625331</v>
      </c>
    </row>
    <row r="73" spans="1:31" ht="16" x14ac:dyDescent="0.2">
      <c r="A73" s="5" t="s">
        <v>96</v>
      </c>
      <c r="D73" s="3">
        <v>73</v>
      </c>
      <c r="E73" s="5" t="s">
        <v>20</v>
      </c>
      <c r="F73" s="9" t="s">
        <v>79</v>
      </c>
      <c r="G73" s="5">
        <v>52.478228577845599</v>
      </c>
      <c r="H73" s="5">
        <v>-2.4333783203628001</v>
      </c>
      <c r="I73" s="5">
        <v>98.321602468247093</v>
      </c>
      <c r="J73" s="5">
        <v>-45.843373890401502</v>
      </c>
      <c r="K73" s="5">
        <v>2.1461919437099302</v>
      </c>
      <c r="L73" s="5">
        <v>175.87963364983</v>
      </c>
      <c r="M73" s="5">
        <v>-37.733792477815882</v>
      </c>
      <c r="N73" s="5">
        <v>100.456690588928</v>
      </c>
      <c r="O73" s="5">
        <v>100</v>
      </c>
      <c r="P73" s="5">
        <v>2.8203166295713</v>
      </c>
      <c r="Q73" s="5">
        <v>-65.552169061842804</v>
      </c>
      <c r="R73" s="5">
        <v>18</v>
      </c>
      <c r="S73" s="5">
        <v>0.13042671614100201</v>
      </c>
      <c r="U73" s="3">
        <f t="shared" si="11"/>
        <v>0.75747461008286032</v>
      </c>
      <c r="V73" s="2">
        <f t="shared" si="12"/>
        <v>1.1513677941671852</v>
      </c>
      <c r="W73" s="5">
        <f t="shared" si="13"/>
        <v>0.9513211293269016</v>
      </c>
      <c r="X73" s="5">
        <f t="shared" si="14"/>
        <v>-0.46310524926867386</v>
      </c>
      <c r="Y73" s="5">
        <f t="shared" si="15"/>
        <v>0.75107627714868719</v>
      </c>
      <c r="Z73" s="5">
        <f t="shared" si="16"/>
        <v>0.24030533923416336</v>
      </c>
      <c r="AA73" s="5">
        <f t="shared" si="17"/>
        <v>6.7001162940633491E-3</v>
      </c>
      <c r="AB73" s="5">
        <f t="shared" si="18"/>
        <v>-0.14466892912938298</v>
      </c>
      <c r="AC73" s="5">
        <f t="shared" si="19"/>
        <v>-0.91441062760591119</v>
      </c>
      <c r="AD73" s="5">
        <f t="shared" si="20"/>
        <v>-0.17946052892333303</v>
      </c>
      <c r="AE73" s="5">
        <f t="shared" si="21"/>
        <v>0.95995638556223972</v>
      </c>
    </row>
    <row r="74" spans="1:31" ht="16" x14ac:dyDescent="0.2">
      <c r="A74" s="5" t="s">
        <v>97</v>
      </c>
      <c r="D74" s="3">
        <v>74</v>
      </c>
      <c r="E74" s="5" t="s">
        <v>20</v>
      </c>
      <c r="F74" s="9" t="s">
        <v>79</v>
      </c>
      <c r="G74" s="5">
        <v>52.60976243384745</v>
      </c>
      <c r="H74" s="5">
        <v>-4.5214801137476002</v>
      </c>
      <c r="I74" s="5">
        <v>100.67277195441631</v>
      </c>
      <c r="J74" s="5">
        <v>-48.063009520569096</v>
      </c>
      <c r="K74" s="5">
        <v>1.6177853220521099</v>
      </c>
      <c r="L74" s="5">
        <v>221.84620379870381</v>
      </c>
      <c r="M74" s="5">
        <v>-42.074874195135607</v>
      </c>
      <c r="N74" s="5">
        <v>81.012131048209895</v>
      </c>
      <c r="O74" s="5">
        <v>100</v>
      </c>
      <c r="P74" s="5">
        <v>14.110876831887051</v>
      </c>
      <c r="Q74" s="5">
        <v>-67.317038265318303</v>
      </c>
      <c r="R74" s="5">
        <v>17</v>
      </c>
      <c r="S74" s="5">
        <v>0.22561636516512751</v>
      </c>
      <c r="U74" s="3">
        <f t="shared" si="11"/>
        <v>0.76968250507427827</v>
      </c>
      <c r="V74" s="2">
        <f t="shared" si="12"/>
        <v>0.74809159959865013</v>
      </c>
      <c r="W74" s="5">
        <f t="shared" si="13"/>
        <v>1.1408026680750001</v>
      </c>
      <c r="X74" s="5">
        <f t="shared" si="14"/>
        <v>-0.74526937150059647</v>
      </c>
      <c r="Y74" s="5">
        <f t="shared" si="15"/>
        <v>-0.5533584715123725</v>
      </c>
      <c r="Z74" s="5">
        <f t="shared" si="16"/>
        <v>1.074497038570696</v>
      </c>
      <c r="AA74" s="5">
        <f t="shared" si="17"/>
        <v>-0.43232171186642415</v>
      </c>
      <c r="AB74" s="5">
        <f t="shared" si="18"/>
        <v>-0.14466892912938298</v>
      </c>
      <c r="AC74" s="5">
        <f t="shared" si="19"/>
        <v>1.0767695808744391</v>
      </c>
      <c r="AD74" s="5">
        <f t="shared" si="20"/>
        <v>-0.47782668169336828</v>
      </c>
      <c r="AE74" s="5">
        <f t="shared" si="21"/>
        <v>0.7891568968625331</v>
      </c>
    </row>
    <row r="75" spans="1:31" ht="16" x14ac:dyDescent="0.2">
      <c r="A75" s="5" t="s">
        <v>98</v>
      </c>
      <c r="D75" s="5">
        <v>75</v>
      </c>
      <c r="E75" s="5" t="s">
        <v>20</v>
      </c>
      <c r="F75" s="9" t="s">
        <v>79</v>
      </c>
      <c r="G75" s="5">
        <v>49.255648562608243</v>
      </c>
      <c r="H75" s="5">
        <v>-6.4122811547555969</v>
      </c>
      <c r="I75" s="5">
        <v>100.65633249772699</v>
      </c>
      <c r="J75" s="5">
        <v>-51.400683935118806</v>
      </c>
      <c r="K75" s="5">
        <v>1.886100713294445</v>
      </c>
      <c r="L75" s="5">
        <v>209.46776364517061</v>
      </c>
      <c r="M75" s="5">
        <v>-43.461930659295405</v>
      </c>
      <c r="N75" s="5">
        <v>161.37731375093799</v>
      </c>
      <c r="O75" s="5">
        <v>39</v>
      </c>
      <c r="P75" s="5">
        <v>9.2383766253319592</v>
      </c>
      <c r="Q75" s="5">
        <v>-67.174404027156555</v>
      </c>
      <c r="R75" s="5">
        <v>22</v>
      </c>
      <c r="S75" s="5">
        <v>0.279526290697514</v>
      </c>
      <c r="U75" s="3">
        <f t="shared" si="11"/>
        <v>0.45838113237848932</v>
      </c>
      <c r="V75" s="2">
        <f t="shared" si="12"/>
        <v>0.38292020282115036</v>
      </c>
      <c r="W75" s="5">
        <f t="shared" si="13"/>
        <v>1.1394778067376965</v>
      </c>
      <c r="X75" s="5">
        <f t="shared" si="14"/>
        <v>-1.1695606194322474</v>
      </c>
      <c r="Y75" s="5">
        <f t="shared" si="15"/>
        <v>0.1090100636112057</v>
      </c>
      <c r="Z75" s="5">
        <f t="shared" si="16"/>
        <v>0.84985569610445966</v>
      </c>
      <c r="AA75" s="5">
        <f t="shared" si="17"/>
        <v>-0.57259736303136777</v>
      </c>
      <c r="AB75" s="5">
        <f t="shared" si="18"/>
        <v>-1.0075308289321581</v>
      </c>
      <c r="AC75" s="5">
        <f t="shared" si="19"/>
        <v>0.21746536538307812</v>
      </c>
      <c r="AD75" s="5">
        <f t="shared" si="20"/>
        <v>-0.45371315032809828</v>
      </c>
      <c r="AE75" s="5">
        <f t="shared" si="21"/>
        <v>1.643154340361066</v>
      </c>
    </row>
    <row r="76" spans="1:31" ht="16" x14ac:dyDescent="0.2">
      <c r="A76" s="5" t="s">
        <v>99</v>
      </c>
      <c r="D76" s="3">
        <v>76</v>
      </c>
      <c r="E76" s="5" t="s">
        <v>20</v>
      </c>
      <c r="F76" s="9" t="s">
        <v>79</v>
      </c>
      <c r="G76" s="5">
        <v>50.044851842279698</v>
      </c>
      <c r="H76" s="5">
        <v>-4.209086928372102</v>
      </c>
      <c r="I76" s="5">
        <v>98.058536124224005</v>
      </c>
      <c r="J76" s="5">
        <v>-48.013684281944201</v>
      </c>
      <c r="K76" s="5">
        <v>1.95662773792517</v>
      </c>
      <c r="L76" s="5">
        <v>206.61786158918881</v>
      </c>
      <c r="M76" s="5">
        <v>-41.2064023629828</v>
      </c>
      <c r="N76" s="5">
        <v>157.10422127421401</v>
      </c>
      <c r="O76" s="5">
        <v>60</v>
      </c>
      <c r="P76" s="5">
        <v>4.8972145548021304</v>
      </c>
      <c r="Q76" s="5">
        <v>-67.552876865207395</v>
      </c>
      <c r="R76" s="5">
        <v>22</v>
      </c>
      <c r="S76" s="5">
        <v>0.22145454545454599</v>
      </c>
      <c r="U76" s="3">
        <f t="shared" si="11"/>
        <v>0.5316285156603735</v>
      </c>
      <c r="V76" s="2">
        <f t="shared" si="12"/>
        <v>0.80842425934085538</v>
      </c>
      <c r="W76" s="5">
        <f t="shared" si="13"/>
        <v>0.93012052428691938</v>
      </c>
      <c r="X76" s="5">
        <f t="shared" si="14"/>
        <v>-0.73899905736826166</v>
      </c>
      <c r="Y76" s="5">
        <f t="shared" si="15"/>
        <v>0.28311443300642336</v>
      </c>
      <c r="Z76" s="5">
        <f t="shared" si="16"/>
        <v>0.79813626976217511</v>
      </c>
      <c r="AA76" s="5">
        <f t="shared" si="17"/>
        <v>-0.34449150817861557</v>
      </c>
      <c r="AB76" s="5">
        <f t="shared" si="18"/>
        <v>-0.71048001096726832</v>
      </c>
      <c r="AC76" s="5">
        <f t="shared" si="19"/>
        <v>-0.54813313830070165</v>
      </c>
      <c r="AD76" s="5">
        <f t="shared" si="20"/>
        <v>-0.51769720330766711</v>
      </c>
      <c r="AE76" s="5">
        <f t="shared" si="21"/>
        <v>1.643154340361066</v>
      </c>
    </row>
    <row r="77" spans="1:31" ht="16" x14ac:dyDescent="0.2">
      <c r="A77" s="5" t="s">
        <v>100</v>
      </c>
      <c r="D77" s="3">
        <v>77</v>
      </c>
      <c r="E77" s="5" t="s">
        <v>20</v>
      </c>
      <c r="F77" s="9" t="s">
        <v>79</v>
      </c>
      <c r="G77" s="5">
        <v>48.334911404245744</v>
      </c>
      <c r="H77" s="5">
        <v>-4.1433198947892969</v>
      </c>
      <c r="I77" s="5">
        <v>94.852396851855644</v>
      </c>
      <c r="J77" s="5">
        <v>-46.5174854476099</v>
      </c>
      <c r="K77" s="5">
        <v>2.0953698966704399</v>
      </c>
      <c r="L77" s="5">
        <v>162.7309424118572</v>
      </c>
      <c r="M77" s="5">
        <v>-39.533720956437904</v>
      </c>
      <c r="N77" s="5">
        <v>56.044481884428301</v>
      </c>
      <c r="O77" s="5">
        <v>120</v>
      </c>
      <c r="P77" s="5">
        <v>10.427102926702471</v>
      </c>
      <c r="Q77" s="5">
        <v>-65.480256427101693</v>
      </c>
      <c r="R77" s="5">
        <v>14</v>
      </c>
      <c r="S77" s="5">
        <v>0.2478847842300545</v>
      </c>
      <c r="U77" s="3">
        <f t="shared" si="11"/>
        <v>0.37292585199936218</v>
      </c>
      <c r="V77" s="2">
        <f t="shared" si="12"/>
        <v>0.82112588103159789</v>
      </c>
      <c r="W77" s="5">
        <f t="shared" si="13"/>
        <v>0.67173668324835634</v>
      </c>
      <c r="X77" s="5">
        <f t="shared" si="14"/>
        <v>-0.54879953766489153</v>
      </c>
      <c r="Y77" s="5">
        <f t="shared" si="15"/>
        <v>0.62561599440581128</v>
      </c>
      <c r="Z77" s="5">
        <f t="shared" si="16"/>
        <v>1.6856412159801603E-3</v>
      </c>
      <c r="AA77" s="5">
        <f t="shared" si="17"/>
        <v>-0.17533006482186733</v>
      </c>
      <c r="AB77" s="5">
        <f t="shared" si="18"/>
        <v>0.13823661178955968</v>
      </c>
      <c r="AC77" s="5">
        <f t="shared" si="19"/>
        <v>0.42710671551763862</v>
      </c>
      <c r="AD77" s="5">
        <f t="shared" si="20"/>
        <v>-0.16730308625222245</v>
      </c>
      <c r="AE77" s="5">
        <f t="shared" si="21"/>
        <v>0.27675843076341339</v>
      </c>
    </row>
    <row r="78" spans="1:31" ht="16" x14ac:dyDescent="0.2">
      <c r="A78" s="5" t="s">
        <v>101</v>
      </c>
      <c r="D78" s="3">
        <v>78</v>
      </c>
      <c r="E78" s="5" t="s">
        <v>20</v>
      </c>
      <c r="F78" s="9" t="s">
        <v>79</v>
      </c>
      <c r="G78" s="5">
        <v>50.834055111257797</v>
      </c>
      <c r="H78" s="5">
        <v>-4.0446694858903953</v>
      </c>
      <c r="I78" s="5">
        <v>99.4067587426117</v>
      </c>
      <c r="J78" s="5">
        <v>-48.572703631353903</v>
      </c>
      <c r="K78" s="5">
        <v>1.9125960164584901</v>
      </c>
      <c r="L78" s="5">
        <v>196.08671394137042</v>
      </c>
      <c r="M78" s="5">
        <v>-42.240849151871203</v>
      </c>
      <c r="N78" s="5">
        <v>141.235207266938</v>
      </c>
      <c r="O78" s="5">
        <v>60</v>
      </c>
      <c r="P78" s="5">
        <v>3.6870833953931301</v>
      </c>
      <c r="Q78" s="5">
        <v>-66.949916234525404</v>
      </c>
      <c r="R78" s="5">
        <v>21</v>
      </c>
      <c r="S78" s="5">
        <v>0.17449664429530201</v>
      </c>
      <c r="U78" s="3">
        <f t="shared" si="11"/>
        <v>0.60487589794978791</v>
      </c>
      <c r="V78" s="2">
        <f t="shared" si="12"/>
        <v>0.84017828624451163</v>
      </c>
      <c r="W78" s="5">
        <f t="shared" si="13"/>
        <v>1.0387742380280416</v>
      </c>
      <c r="X78" s="5">
        <f t="shared" si="14"/>
        <v>-0.810062614779682</v>
      </c>
      <c r="Y78" s="5">
        <f t="shared" si="15"/>
        <v>0.17441687856567589</v>
      </c>
      <c r="Z78" s="5">
        <f t="shared" si="16"/>
        <v>0.60701920525539943</v>
      </c>
      <c r="AA78" s="5">
        <f t="shared" si="17"/>
        <v>-0.44910707405949257</v>
      </c>
      <c r="AB78" s="5">
        <f t="shared" si="18"/>
        <v>-0.71048001096726832</v>
      </c>
      <c r="AC78" s="5">
        <f t="shared" si="19"/>
        <v>-0.76154940561632722</v>
      </c>
      <c r="AD78" s="5">
        <f t="shared" si="20"/>
        <v>-0.41576157924323059</v>
      </c>
      <c r="AE78" s="5">
        <f t="shared" si="21"/>
        <v>1.4723548516613594</v>
      </c>
    </row>
    <row r="79" spans="1:31" ht="16" x14ac:dyDescent="0.2">
      <c r="A79" s="5" t="s">
        <v>102</v>
      </c>
      <c r="D79" s="5">
        <v>79</v>
      </c>
      <c r="E79" s="5" t="s">
        <v>20</v>
      </c>
      <c r="F79" s="9" t="s">
        <v>79</v>
      </c>
      <c r="G79" s="5">
        <v>36.266677563366351</v>
      </c>
      <c r="H79" s="5">
        <v>-5.1955919353234492</v>
      </c>
      <c r="I79" s="5">
        <v>89.459511797752697</v>
      </c>
      <c r="J79" s="5">
        <v>-53.192834234386353</v>
      </c>
      <c r="K79" s="5">
        <v>2.228780266972175</v>
      </c>
      <c r="L79" s="5">
        <v>144.45850722377719</v>
      </c>
      <c r="M79" s="5">
        <v>-37.308036932595357</v>
      </c>
      <c r="N79" s="5">
        <v>141.83029155557799</v>
      </c>
      <c r="O79" s="5">
        <v>49.5</v>
      </c>
      <c r="P79" s="5">
        <v>13.133681637829349</v>
      </c>
      <c r="Q79" s="5">
        <v>-69.312372371792051</v>
      </c>
      <c r="R79" s="5">
        <v>20</v>
      </c>
      <c r="S79" s="5">
        <v>0.52343549635737041</v>
      </c>
      <c r="U79" s="3">
        <f t="shared" si="11"/>
        <v>-0.7471487503848212</v>
      </c>
      <c r="V79" s="2">
        <f t="shared" si="12"/>
        <v>0.61790002992517201</v>
      </c>
      <c r="W79" s="5">
        <f t="shared" si="13"/>
        <v>0.2371222650389892</v>
      </c>
      <c r="X79" s="5">
        <f t="shared" si="14"/>
        <v>-1.3973820281480207</v>
      </c>
      <c r="Y79" s="5">
        <f t="shared" si="15"/>
        <v>0.95495540031131865</v>
      </c>
      <c r="Z79" s="5">
        <f t="shared" si="16"/>
        <v>-0.32991869017515724</v>
      </c>
      <c r="AA79" s="5">
        <f t="shared" si="17"/>
        <v>4.9757582147893435E-2</v>
      </c>
      <c r="AB79" s="5">
        <f t="shared" si="18"/>
        <v>-0.85900541994971313</v>
      </c>
      <c r="AC79" s="5">
        <f t="shared" si="19"/>
        <v>0.9044334261253838</v>
      </c>
      <c r="AD79" s="5">
        <f t="shared" si="20"/>
        <v>-0.81515488690371729</v>
      </c>
      <c r="AE79" s="5">
        <f t="shared" si="21"/>
        <v>1.3015553629616528</v>
      </c>
    </row>
    <row r="80" spans="1:31" ht="16" x14ac:dyDescent="0.2">
      <c r="A80" s="5" t="s">
        <v>103</v>
      </c>
      <c r="D80" s="3">
        <v>80</v>
      </c>
      <c r="E80" s="5" t="s">
        <v>20</v>
      </c>
      <c r="F80" s="9" t="s">
        <v>79</v>
      </c>
      <c r="G80" s="5">
        <v>70.465485414355996</v>
      </c>
      <c r="H80" s="5">
        <v>-9.3060264372249009</v>
      </c>
      <c r="I80" s="5">
        <v>92.534097872011799</v>
      </c>
      <c r="J80" s="5">
        <v>-22.068612457655899</v>
      </c>
      <c r="K80" s="5">
        <v>1.84310625015162</v>
      </c>
      <c r="L80" s="5">
        <v>151.2639815728088</v>
      </c>
      <c r="M80" s="5">
        <v>-46.571221326221597</v>
      </c>
      <c r="N80" s="5">
        <v>231.69771949927201</v>
      </c>
      <c r="O80" s="5">
        <v>240</v>
      </c>
      <c r="P80" s="5">
        <v>5.6582529638275902</v>
      </c>
      <c r="Q80" s="5">
        <v>-49.558062458012401</v>
      </c>
      <c r="R80" s="5">
        <v>5</v>
      </c>
      <c r="S80" s="5">
        <v>0.88183832963956699</v>
      </c>
      <c r="U80" s="3">
        <f t="shared" si="11"/>
        <v>2.4269044384054843</v>
      </c>
      <c r="V80" s="2">
        <f t="shared" si="12"/>
        <v>-0.17595034135534138</v>
      </c>
      <c r="W80" s="5">
        <f t="shared" si="13"/>
        <v>0.48490418964761872</v>
      </c>
      <c r="X80" s="5">
        <f t="shared" si="14"/>
        <v>2.5591857068543855</v>
      </c>
      <c r="Y80" s="5">
        <f t="shared" si="15"/>
        <v>2.8731050175149764E-3</v>
      </c>
      <c r="Z80" s="5">
        <f t="shared" si="16"/>
        <v>-0.20641436532291565</v>
      </c>
      <c r="AA80" s="5">
        <f t="shared" si="17"/>
        <v>-0.8870458258258177</v>
      </c>
      <c r="AB80" s="5">
        <f t="shared" si="18"/>
        <v>1.8356698573032153</v>
      </c>
      <c r="AC80" s="5">
        <f t="shared" si="19"/>
        <v>-0.41391795404137149</v>
      </c>
      <c r="AD80" s="5">
        <f t="shared" si="20"/>
        <v>2.5244792559520293</v>
      </c>
      <c r="AE80" s="5">
        <f t="shared" si="21"/>
        <v>-1.2604369675339457</v>
      </c>
    </row>
    <row r="81" spans="1:31" ht="16" x14ac:dyDescent="0.2">
      <c r="A81" s="5" t="s">
        <v>104</v>
      </c>
      <c r="D81" s="3">
        <v>81</v>
      </c>
      <c r="E81" s="5" t="s">
        <v>20</v>
      </c>
      <c r="F81" s="9" t="s">
        <v>79</v>
      </c>
      <c r="G81" s="5">
        <v>40.407161041157302</v>
      </c>
      <c r="H81" s="5">
        <v>-8.3524071365627037</v>
      </c>
      <c r="I81" s="5">
        <v>90.824173765020902</v>
      </c>
      <c r="J81" s="5">
        <v>-50.417012723863699</v>
      </c>
      <c r="K81" s="5">
        <v>1.8259290383556099</v>
      </c>
      <c r="L81" s="5">
        <v>165.5918150720172</v>
      </c>
      <c r="M81" s="5">
        <v>-44.896018794812001</v>
      </c>
      <c r="N81" s="5">
        <v>192.97279482861899</v>
      </c>
      <c r="O81" s="5">
        <v>60</v>
      </c>
      <c r="P81" s="5">
        <v>7.9033619214123503</v>
      </c>
      <c r="Q81" s="5">
        <v>-69.389780591414905</v>
      </c>
      <c r="R81" s="5">
        <v>17</v>
      </c>
      <c r="S81" s="5">
        <v>0.131571275872121</v>
      </c>
      <c r="U81" s="3">
        <f t="shared" si="11"/>
        <v>-0.36286299273272699</v>
      </c>
      <c r="V81" s="2">
        <f t="shared" si="12"/>
        <v>8.2226543561223775E-3</v>
      </c>
      <c r="W81" s="5">
        <f t="shared" si="13"/>
        <v>0.34710083142906734</v>
      </c>
      <c r="X81" s="5">
        <f t="shared" si="14"/>
        <v>-1.0445145442493344</v>
      </c>
      <c r="Y81" s="5">
        <f t="shared" si="15"/>
        <v>-3.9530890378167184E-2</v>
      </c>
      <c r="Z81" s="5">
        <f t="shared" si="16"/>
        <v>5.360415978795513E-2</v>
      </c>
      <c r="AA81" s="5">
        <f t="shared" si="17"/>
        <v>-0.71762941632947685</v>
      </c>
      <c r="AB81" s="5">
        <f t="shared" si="18"/>
        <v>-0.71048001096726832</v>
      </c>
      <c r="AC81" s="5">
        <f t="shared" si="19"/>
        <v>-1.7975109566053152E-2</v>
      </c>
      <c r="AD81" s="5">
        <f t="shared" si="20"/>
        <v>-0.82824140495058818</v>
      </c>
      <c r="AE81" s="5">
        <f t="shared" si="21"/>
        <v>0.7891568968625331</v>
      </c>
    </row>
    <row r="82" spans="1:31" ht="16" x14ac:dyDescent="0.2">
      <c r="A82" s="5" t="s">
        <v>105</v>
      </c>
      <c r="D82" s="3">
        <v>82</v>
      </c>
      <c r="E82" s="5" t="s">
        <v>58</v>
      </c>
      <c r="F82" s="9" t="s">
        <v>79</v>
      </c>
      <c r="G82" s="5">
        <v>48.959697340005199</v>
      </c>
      <c r="H82" s="5">
        <v>-1.7592667726154971</v>
      </c>
      <c r="I82" s="5">
        <v>96.184177839809109</v>
      </c>
      <c r="J82" s="5">
        <v>-47.224480499803853</v>
      </c>
      <c r="K82" s="5">
        <v>2.2748726816411953</v>
      </c>
      <c r="L82" s="5">
        <v>155.970453586807</v>
      </c>
      <c r="M82" s="5">
        <v>-29.872922087016079</v>
      </c>
      <c r="N82" s="5">
        <v>145.50629292288599</v>
      </c>
      <c r="O82" s="5">
        <v>49.5</v>
      </c>
      <c r="P82" s="5">
        <v>7.9717952727927397</v>
      </c>
      <c r="Q82" s="5">
        <v>-64.507713557768696</v>
      </c>
      <c r="R82" s="5">
        <v>9</v>
      </c>
      <c r="S82" s="5">
        <v>1</v>
      </c>
      <c r="U82" s="3">
        <f t="shared" si="11"/>
        <v>0.43091336432287275</v>
      </c>
      <c r="V82" s="2">
        <f t="shared" si="12"/>
        <v>1.2815593109560126</v>
      </c>
      <c r="W82" s="5">
        <f t="shared" si="13"/>
        <v>0.77906536046934161</v>
      </c>
      <c r="X82" s="5">
        <f t="shared" si="14"/>
        <v>-0.63867403580923643</v>
      </c>
      <c r="Y82" s="5">
        <f t="shared" si="15"/>
        <v>1.0687400216230847</v>
      </c>
      <c r="Z82" s="5">
        <f t="shared" si="16"/>
        <v>-0.12100229575754747</v>
      </c>
      <c r="AA82" s="5">
        <f t="shared" si="17"/>
        <v>0.80168484927724093</v>
      </c>
      <c r="AB82" s="5">
        <f t="shared" si="18"/>
        <v>-0.85900541994971313</v>
      </c>
      <c r="AC82" s="5">
        <f t="shared" si="19"/>
        <v>-5.9063430543025127E-3</v>
      </c>
      <c r="AD82" s="5">
        <f t="shared" si="20"/>
        <v>-2.8864406699959182E-3</v>
      </c>
      <c r="AE82" s="5">
        <f t="shared" si="21"/>
        <v>-0.57723901273511946</v>
      </c>
    </row>
    <row r="83" spans="1:31" ht="16" x14ac:dyDescent="0.2">
      <c r="A83" s="5" t="s">
        <v>106</v>
      </c>
      <c r="D83" s="5">
        <v>83</v>
      </c>
      <c r="E83" s="5" t="s">
        <v>58</v>
      </c>
      <c r="F83" s="9" t="s">
        <v>79</v>
      </c>
      <c r="G83" s="5">
        <v>44.734171425111199</v>
      </c>
      <c r="H83" s="5">
        <v>-0.97006298228405186</v>
      </c>
      <c r="I83" s="5">
        <v>91.646258761197259</v>
      </c>
      <c r="J83" s="5">
        <v>-46.912087336086046</v>
      </c>
      <c r="K83" s="5">
        <v>2.6809936153537848</v>
      </c>
      <c r="L83" s="5">
        <v>142.20049802000142</v>
      </c>
      <c r="M83" s="5">
        <v>-25.44634186721062</v>
      </c>
      <c r="N83" s="5">
        <v>116.51795644140699</v>
      </c>
      <c r="O83" s="5">
        <v>59</v>
      </c>
      <c r="P83" s="5">
        <v>13.579209784270695</v>
      </c>
      <c r="Q83" s="5">
        <v>-63.272757952242202</v>
      </c>
      <c r="R83" s="5">
        <v>10</v>
      </c>
      <c r="S83" s="12" t="s">
        <v>53</v>
      </c>
      <c r="U83" s="3">
        <f t="shared" si="11"/>
        <v>3.8734664324789218E-2</v>
      </c>
      <c r="V83" s="2">
        <f t="shared" si="12"/>
        <v>1.4339786529211473</v>
      </c>
      <c r="W83" s="5">
        <f t="shared" si="13"/>
        <v>0.41335293744419715</v>
      </c>
      <c r="X83" s="5">
        <f t="shared" si="14"/>
        <v>-0.59896204811464659</v>
      </c>
      <c r="Y83" s="5">
        <f t="shared" si="15"/>
        <v>2.0712979691963298</v>
      </c>
      <c r="Z83" s="5">
        <f t="shared" si="16"/>
        <v>-0.37089656885339467</v>
      </c>
      <c r="AA83" s="5">
        <f t="shared" si="17"/>
        <v>1.2493533031661763</v>
      </c>
      <c r="AB83" s="5">
        <f t="shared" si="18"/>
        <v>-0.72462528801321546</v>
      </c>
      <c r="AC83" s="5">
        <f t="shared" si="19"/>
        <v>0.98300586288835234</v>
      </c>
      <c r="AD83" s="5">
        <f t="shared" si="20"/>
        <v>0.20589331033767966</v>
      </c>
      <c r="AE83" s="5">
        <f t="shared" si="21"/>
        <v>-0.40643952403541289</v>
      </c>
    </row>
    <row r="84" spans="1:31" ht="16" x14ac:dyDescent="0.2">
      <c r="A84" s="5" t="s">
        <v>107</v>
      </c>
      <c r="D84" s="3">
        <v>84</v>
      </c>
      <c r="E84" s="5" t="s">
        <v>58</v>
      </c>
      <c r="F84" s="9" t="s">
        <v>79</v>
      </c>
      <c r="G84" s="5">
        <v>40.767947228997798</v>
      </c>
      <c r="H84" s="5">
        <v>-2.0387763934583001</v>
      </c>
      <c r="I84" s="5">
        <v>84.822936742120703</v>
      </c>
      <c r="J84" s="5">
        <v>-44.054989513122848</v>
      </c>
      <c r="K84" s="5">
        <v>0.86737697686256543</v>
      </c>
      <c r="L84" s="5">
        <v>103.0662231372676</v>
      </c>
      <c r="M84" s="5">
        <v>-22.332251351561041</v>
      </c>
      <c r="N84" s="5">
        <v>186.38937486047399</v>
      </c>
      <c r="O84" s="5">
        <v>39</v>
      </c>
      <c r="P84" s="5">
        <v>9.3867133805447551</v>
      </c>
      <c r="Q84" s="5">
        <v>-58.644394791051397</v>
      </c>
      <c r="R84" s="5">
        <v>9</v>
      </c>
      <c r="S84" s="12" t="s">
        <v>53</v>
      </c>
      <c r="U84" s="3">
        <f t="shared" si="11"/>
        <v>-0.32937777433048709</v>
      </c>
      <c r="V84" s="2">
        <f t="shared" si="12"/>
        <v>1.2275774712794794</v>
      </c>
      <c r="W84" s="5">
        <f t="shared" si="13"/>
        <v>-0.13654087631694284</v>
      </c>
      <c r="X84" s="5">
        <f t="shared" si="14"/>
        <v>-0.23576257141212256</v>
      </c>
      <c r="Y84" s="5">
        <f t="shared" si="15"/>
        <v>-2.4058309444715849</v>
      </c>
      <c r="Z84" s="5">
        <f t="shared" si="16"/>
        <v>-1.0810972029446577</v>
      </c>
      <c r="AA84" s="5">
        <f t="shared" si="17"/>
        <v>1.5642871837662915</v>
      </c>
      <c r="AB84" s="5">
        <f t="shared" si="18"/>
        <v>-1.0075308289321581</v>
      </c>
      <c r="AC84" s="5">
        <f t="shared" si="19"/>
        <v>0.24362573350275146</v>
      </c>
      <c r="AD84" s="5">
        <f t="shared" si="20"/>
        <v>0.98835747669494045</v>
      </c>
      <c r="AE84" s="5">
        <f t="shared" si="21"/>
        <v>-0.57723901273511946</v>
      </c>
    </row>
    <row r="85" spans="1:31" ht="16" x14ac:dyDescent="0.2">
      <c r="A85" s="5" t="s">
        <v>108</v>
      </c>
      <c r="D85" s="3">
        <v>85</v>
      </c>
      <c r="E85" s="5" t="s">
        <v>58</v>
      </c>
      <c r="F85" s="9" t="s">
        <v>79</v>
      </c>
      <c r="G85" s="5">
        <v>33.570232833907902</v>
      </c>
      <c r="H85" s="5">
        <v>-17.3953667925784</v>
      </c>
      <c r="I85" s="5">
        <v>72.968442752043302</v>
      </c>
      <c r="J85" s="5">
        <v>-39.3982099181354</v>
      </c>
      <c r="K85" s="5">
        <v>2.0624620484840102</v>
      </c>
      <c r="L85" s="5">
        <v>108.9410395087596</v>
      </c>
      <c r="M85" s="5">
        <v>-28.123206483921003</v>
      </c>
      <c r="N85" s="5">
        <v>87.973430478659907</v>
      </c>
      <c r="O85" s="5">
        <v>95</v>
      </c>
      <c r="P85" s="5">
        <v>17.942574351466899</v>
      </c>
      <c r="Q85" s="5">
        <v>-66.346728688743397</v>
      </c>
      <c r="R85" s="5">
        <v>17</v>
      </c>
      <c r="S85" s="5">
        <v>0.54482036972445202</v>
      </c>
      <c r="U85" s="3">
        <f t="shared" si="11"/>
        <v>-0.99741066095275721</v>
      </c>
      <c r="V85" s="2">
        <f t="shared" si="12"/>
        <v>-1.7382488870543862</v>
      </c>
      <c r="W85" s="5">
        <f t="shared" si="13"/>
        <v>-1.0918985294054591</v>
      </c>
      <c r="X85" s="5">
        <f t="shared" si="14"/>
        <v>0.35621572853431904</v>
      </c>
      <c r="Y85" s="5">
        <f t="shared" si="15"/>
        <v>0.54437904748155519</v>
      </c>
      <c r="Z85" s="5">
        <f t="shared" si="16"/>
        <v>-0.9744822643848996</v>
      </c>
      <c r="AA85" s="5">
        <f t="shared" si="17"/>
        <v>0.97863690704822681</v>
      </c>
      <c r="AB85" s="5">
        <f t="shared" si="18"/>
        <v>-0.21539531435911866</v>
      </c>
      <c r="AC85" s="5">
        <f t="shared" si="19"/>
        <v>1.7525199536775327</v>
      </c>
      <c r="AD85" s="5">
        <f t="shared" si="20"/>
        <v>-0.31378759325074668</v>
      </c>
      <c r="AE85" s="5">
        <f t="shared" si="21"/>
        <v>0.7891568968625331</v>
      </c>
    </row>
    <row r="86" spans="1:31" ht="16" x14ac:dyDescent="0.2">
      <c r="A86" s="5" t="s">
        <v>109</v>
      </c>
      <c r="D86" s="3">
        <v>86</v>
      </c>
      <c r="E86" s="5" t="s">
        <v>58</v>
      </c>
      <c r="F86" s="9" t="s">
        <v>79</v>
      </c>
      <c r="G86" s="5">
        <v>49.423542957148101</v>
      </c>
      <c r="H86" s="5">
        <v>-1.3646648903955985</v>
      </c>
      <c r="I86" s="5">
        <v>97.976327523892152</v>
      </c>
      <c r="J86" s="5">
        <v>-48.552784566744052</v>
      </c>
      <c r="K86" s="5">
        <v>1.4032357161325804</v>
      </c>
      <c r="L86" s="5">
        <v>164.6777244303434</v>
      </c>
      <c r="M86" s="5">
        <v>-30.422652074246137</v>
      </c>
      <c r="N86" s="5">
        <v>188.35835486878599</v>
      </c>
      <c r="O86" s="5">
        <v>49.5</v>
      </c>
      <c r="P86" s="5">
        <v>17.060312449252599</v>
      </c>
      <c r="Q86" s="5">
        <v>-66.454338017982153</v>
      </c>
      <c r="R86" s="5">
        <v>14</v>
      </c>
      <c r="S86" s="5">
        <v>1</v>
      </c>
      <c r="U86" s="3">
        <f t="shared" si="11"/>
        <v>0.4739637146922126</v>
      </c>
      <c r="V86" s="2">
        <f t="shared" si="12"/>
        <v>1.3577689794383463</v>
      </c>
      <c r="W86" s="5">
        <f t="shared" si="13"/>
        <v>0.92349530556881376</v>
      </c>
      <c r="X86" s="5">
        <f t="shared" si="14"/>
        <v>-0.80753046702311748</v>
      </c>
      <c r="Y86" s="5">
        <f t="shared" si="15"/>
        <v>-1.0829997549522372</v>
      </c>
      <c r="Z86" s="5">
        <f t="shared" si="16"/>
        <v>3.7015434041051294E-2</v>
      </c>
      <c r="AA86" s="5">
        <f t="shared" si="17"/>
        <v>0.74608961295043152</v>
      </c>
      <c r="AB86" s="5">
        <f t="shared" si="18"/>
        <v>-0.85900541994971313</v>
      </c>
      <c r="AC86" s="5">
        <f t="shared" si="19"/>
        <v>1.5969260409835442</v>
      </c>
      <c r="AD86" s="5">
        <f t="shared" si="20"/>
        <v>-0.33197986580210875</v>
      </c>
      <c r="AE86" s="5">
        <f t="shared" si="21"/>
        <v>0.27675843076341339</v>
      </c>
    </row>
    <row r="87" spans="1:31" ht="16" x14ac:dyDescent="0.2">
      <c r="A87" s="5" t="s">
        <v>110</v>
      </c>
      <c r="D87" s="5">
        <v>87</v>
      </c>
      <c r="E87" s="5" t="s">
        <v>58</v>
      </c>
      <c r="F87" s="9" t="s">
        <v>79</v>
      </c>
      <c r="G87" s="5">
        <v>46.5920875018356</v>
      </c>
      <c r="H87" s="5">
        <v>1.7428250393083005</v>
      </c>
      <c r="I87" s="5">
        <v>96.3814803141601</v>
      </c>
      <c r="J87" s="5">
        <v>-49.7893928123245</v>
      </c>
      <c r="K87" s="5">
        <v>2.6161624805359698</v>
      </c>
      <c r="L87" s="5">
        <v>148.83885181823041</v>
      </c>
      <c r="M87" s="5">
        <v>-27.637782527501077</v>
      </c>
      <c r="N87" s="5">
        <v>162.91955561774799</v>
      </c>
      <c r="O87" s="5">
        <v>39</v>
      </c>
      <c r="P87" s="5">
        <v>18.564973772150001</v>
      </c>
      <c r="Q87" s="5">
        <v>-68.364638445661996</v>
      </c>
      <c r="R87" s="5">
        <v>15</v>
      </c>
      <c r="S87" s="12" t="s">
        <v>53</v>
      </c>
      <c r="U87" s="3">
        <f t="shared" si="11"/>
        <v>0.2111712145556244</v>
      </c>
      <c r="V87" s="2">
        <f t="shared" si="12"/>
        <v>1.9579201394446031</v>
      </c>
      <c r="W87" s="5">
        <f t="shared" si="13"/>
        <v>0.79496603315957171</v>
      </c>
      <c r="X87" s="5">
        <f t="shared" si="14"/>
        <v>-0.96473035849026756</v>
      </c>
      <c r="Y87" s="5">
        <f t="shared" si="15"/>
        <v>1.9112545829379128</v>
      </c>
      <c r="Z87" s="5">
        <f t="shared" si="16"/>
        <v>-0.25042511279724949</v>
      </c>
      <c r="AA87" s="5">
        <f t="shared" si="17"/>
        <v>1.0277287525046519</v>
      </c>
      <c r="AB87" s="5">
        <f t="shared" si="18"/>
        <v>-1.0075308289321581</v>
      </c>
      <c r="AC87" s="5">
        <f t="shared" si="19"/>
        <v>1.8622850482367592</v>
      </c>
      <c r="AD87" s="5">
        <f t="shared" si="20"/>
        <v>-0.65493240422216081</v>
      </c>
      <c r="AE87" s="5">
        <f t="shared" si="21"/>
        <v>0.44755791946311996</v>
      </c>
    </row>
    <row r="88" spans="1:31" ht="16" x14ac:dyDescent="0.2">
      <c r="A88" s="5" t="s">
        <v>111</v>
      </c>
      <c r="D88" s="3">
        <v>88</v>
      </c>
      <c r="E88" s="5" t="s">
        <v>58</v>
      </c>
      <c r="F88" s="9" t="s">
        <v>79</v>
      </c>
      <c r="G88" s="5">
        <v>43.188648300297501</v>
      </c>
      <c r="H88" s="5">
        <v>0.73987856230540316</v>
      </c>
      <c r="I88" s="5">
        <v>94.5893322093455</v>
      </c>
      <c r="J88" s="5">
        <v>-51.400683909047999</v>
      </c>
      <c r="K88" s="5">
        <v>2.3851147919887898</v>
      </c>
      <c r="L88" s="5">
        <v>147.7870659875334</v>
      </c>
      <c r="M88" s="5">
        <v>-30.563797231619382</v>
      </c>
      <c r="N88" s="5">
        <v>23.278980137831098</v>
      </c>
      <c r="O88" s="5">
        <v>129.5</v>
      </c>
      <c r="P88" s="5">
        <v>7.821959551948245</v>
      </c>
      <c r="Q88" s="5">
        <v>-67.797597617485948</v>
      </c>
      <c r="R88" s="5">
        <v>11</v>
      </c>
      <c r="S88" s="5">
        <v>0.123839922704647</v>
      </c>
      <c r="U88" s="3">
        <f t="shared" si="11"/>
        <v>-0.10470813122640478</v>
      </c>
      <c r="V88" s="2">
        <f t="shared" si="12"/>
        <v>1.7642205602942911</v>
      </c>
      <c r="W88" s="5">
        <f t="shared" si="13"/>
        <v>0.65053621533387385</v>
      </c>
      <c r="X88" s="5">
        <f t="shared" si="14"/>
        <v>-1.1695606161180789</v>
      </c>
      <c r="Y88" s="5">
        <f t="shared" si="15"/>
        <v>1.3408858154285457</v>
      </c>
      <c r="Z88" s="5">
        <f t="shared" si="16"/>
        <v>-0.26951270203015476</v>
      </c>
      <c r="AA88" s="5">
        <f t="shared" si="17"/>
        <v>0.73181533546360722</v>
      </c>
      <c r="AB88" s="5">
        <f t="shared" si="18"/>
        <v>0.27261674372605743</v>
      </c>
      <c r="AC88" s="5">
        <f t="shared" si="19"/>
        <v>-3.233106570072633E-2</v>
      </c>
      <c r="AD88" s="5">
        <f t="shared" si="20"/>
        <v>-0.5590693283447814</v>
      </c>
      <c r="AE88" s="5">
        <f t="shared" si="21"/>
        <v>-0.23564003533570632</v>
      </c>
    </row>
    <row r="89" spans="1:31" ht="16" x14ac:dyDescent="0.2">
      <c r="A89" s="5" t="s">
        <v>112</v>
      </c>
      <c r="D89" s="3">
        <v>89</v>
      </c>
      <c r="E89" s="5" t="s">
        <v>58</v>
      </c>
      <c r="F89" s="9" t="s">
        <v>79</v>
      </c>
      <c r="G89" s="5">
        <v>45.638466863278097</v>
      </c>
      <c r="H89" s="5">
        <v>-4.7352226102649979</v>
      </c>
      <c r="I89" s="5">
        <v>88.555210133739806</v>
      </c>
      <c r="J89" s="5">
        <v>-42.916743270461701</v>
      </c>
      <c r="K89" s="5">
        <v>2.12513569338534</v>
      </c>
      <c r="L89" s="5">
        <v>132.1529028197524</v>
      </c>
      <c r="M89" s="5">
        <v>-28.44640284909136</v>
      </c>
      <c r="N89" s="5">
        <v>157.33046199838401</v>
      </c>
      <c r="O89" s="5">
        <v>79</v>
      </c>
      <c r="P89" s="5">
        <v>4.7159565812497402</v>
      </c>
      <c r="Q89" s="5">
        <v>-70.533278469241594</v>
      </c>
      <c r="R89" s="5">
        <v>16</v>
      </c>
      <c r="S89" s="5">
        <v>1</v>
      </c>
      <c r="U89" s="3">
        <f t="shared" si="11"/>
        <v>0.12266395892559817</v>
      </c>
      <c r="V89" s="2">
        <f t="shared" si="12"/>
        <v>0.70681139913802538</v>
      </c>
      <c r="W89" s="5">
        <f t="shared" si="13"/>
        <v>0.16424429014284139</v>
      </c>
      <c r="X89" s="5">
        <f t="shared" si="14"/>
        <v>-9.106663682757267E-2</v>
      </c>
      <c r="Y89" s="5">
        <f t="shared" si="15"/>
        <v>0.69909641263879929</v>
      </c>
      <c r="Z89" s="5">
        <f t="shared" si="16"/>
        <v>-0.55323822469579098</v>
      </c>
      <c r="AA89" s="5">
        <f t="shared" si="17"/>
        <v>0.94595144560533073</v>
      </c>
      <c r="AB89" s="5">
        <f t="shared" si="18"/>
        <v>-0.44171974709427275</v>
      </c>
      <c r="AC89" s="5">
        <f t="shared" si="19"/>
        <v>-0.58009942545558957</v>
      </c>
      <c r="AD89" s="5">
        <f t="shared" si="20"/>
        <v>-1.0215594490503848</v>
      </c>
      <c r="AE89" s="5">
        <f t="shared" si="21"/>
        <v>0.61835740816282658</v>
      </c>
    </row>
    <row r="90" spans="1:31" ht="16" x14ac:dyDescent="0.2">
      <c r="A90" s="5" t="s">
        <v>113</v>
      </c>
      <c r="D90" s="3">
        <v>90</v>
      </c>
      <c r="E90" s="5" t="s">
        <v>58</v>
      </c>
      <c r="F90" s="9" t="s">
        <v>79</v>
      </c>
      <c r="G90" s="5">
        <v>35.371791502069399</v>
      </c>
      <c r="H90" s="5">
        <v>-2.1703104555233992</v>
      </c>
      <c r="I90" s="5">
        <v>86.812390057200304</v>
      </c>
      <c r="J90" s="5">
        <v>-51.440598555130897</v>
      </c>
      <c r="K90" s="5">
        <v>2.6233235072570298</v>
      </c>
      <c r="L90" s="5">
        <v>126.4917919998792</v>
      </c>
      <c r="M90" s="5">
        <v>-22.98952895407972</v>
      </c>
      <c r="N90" s="5">
        <v>35.523157290132701</v>
      </c>
      <c r="O90" s="5">
        <v>100</v>
      </c>
      <c r="P90" s="5">
        <v>11.4149214071912</v>
      </c>
      <c r="Q90" s="5">
        <v>-68.889754503445303</v>
      </c>
      <c r="R90" s="5">
        <v>6</v>
      </c>
      <c r="S90" s="5">
        <v>6.1777939924601698E-2</v>
      </c>
      <c r="U90" s="3">
        <f t="shared" si="11"/>
        <v>-0.83020474370598563</v>
      </c>
      <c r="V90" s="2">
        <f t="shared" si="12"/>
        <v>1.2021742288830588</v>
      </c>
      <c r="W90" s="5">
        <f t="shared" si="13"/>
        <v>2.3789834687214184E-2</v>
      </c>
      <c r="X90" s="5">
        <f t="shared" si="14"/>
        <v>-1.1746346385941591</v>
      </c>
      <c r="Y90" s="5">
        <f t="shared" si="15"/>
        <v>1.9289324312240195</v>
      </c>
      <c r="Z90" s="5">
        <f t="shared" si="16"/>
        <v>-0.65597487960973522</v>
      </c>
      <c r="AA90" s="5">
        <f t="shared" si="17"/>
        <v>1.4978154531109065</v>
      </c>
      <c r="AB90" s="5">
        <f t="shared" si="18"/>
        <v>-0.14466892912938298</v>
      </c>
      <c r="AC90" s="5">
        <f t="shared" si="19"/>
        <v>0.60131637143151118</v>
      </c>
      <c r="AD90" s="5">
        <f t="shared" si="20"/>
        <v>-0.7437077410063454</v>
      </c>
      <c r="AE90" s="5">
        <f t="shared" si="21"/>
        <v>-1.0896374788342391</v>
      </c>
    </row>
    <row r="91" spans="1:31" ht="16" x14ac:dyDescent="0.2">
      <c r="A91" s="5" t="s">
        <v>114</v>
      </c>
      <c r="D91" s="5">
        <v>91</v>
      </c>
      <c r="E91" s="5" t="s">
        <v>58</v>
      </c>
      <c r="F91" s="9" t="s">
        <v>79</v>
      </c>
      <c r="G91" s="5">
        <v>47.611475075600801</v>
      </c>
      <c r="H91" s="5">
        <v>-5.8861447918833036</v>
      </c>
      <c r="I91" s="5">
        <v>90.363800897520804</v>
      </c>
      <c r="J91" s="5">
        <v>-42.752325821919896</v>
      </c>
      <c r="K91" s="5">
        <v>2.33903289523544</v>
      </c>
      <c r="L91" s="5">
        <v>164.04158498126802</v>
      </c>
      <c r="M91" s="5">
        <v>-25.534404698998681</v>
      </c>
      <c r="N91" s="5">
        <v>164.26303815651801</v>
      </c>
      <c r="O91" s="5">
        <v>100</v>
      </c>
      <c r="P91" s="5">
        <v>2.27942212380758</v>
      </c>
      <c r="Q91" s="5">
        <v>-73.022478520497401</v>
      </c>
      <c r="R91" s="5">
        <v>12</v>
      </c>
      <c r="S91" s="5">
        <v>1</v>
      </c>
      <c r="U91" s="3">
        <f t="shared" si="11"/>
        <v>0.30578241835023318</v>
      </c>
      <c r="V91" s="2">
        <f t="shared" si="12"/>
        <v>0.48453319454188859</v>
      </c>
      <c r="W91" s="5">
        <f t="shared" si="13"/>
        <v>0.30999922737842894</v>
      </c>
      <c r="X91" s="5">
        <f t="shared" si="14"/>
        <v>-7.016559144116942E-2</v>
      </c>
      <c r="Y91" s="5">
        <f t="shared" si="15"/>
        <v>1.2271271588456865</v>
      </c>
      <c r="Z91" s="5">
        <f t="shared" si="16"/>
        <v>2.5470908392943879E-2</v>
      </c>
      <c r="AA91" s="5">
        <f t="shared" si="17"/>
        <v>1.240447341951409</v>
      </c>
      <c r="AB91" s="5">
        <f t="shared" si="18"/>
        <v>-0.14466892912938298</v>
      </c>
      <c r="AC91" s="5">
        <f t="shared" si="19"/>
        <v>-1.0098016813227657</v>
      </c>
      <c r="AD91" s="5">
        <f t="shared" si="20"/>
        <v>-1.4423798935941552</v>
      </c>
      <c r="AE91" s="5">
        <f t="shared" si="21"/>
        <v>-6.4840546635999738E-2</v>
      </c>
    </row>
    <row r="92" spans="1:31" ht="16" x14ac:dyDescent="0.2">
      <c r="A92" s="5" t="s">
        <v>115</v>
      </c>
      <c r="D92" s="3">
        <v>92</v>
      </c>
      <c r="E92" s="5" t="s">
        <v>58</v>
      </c>
      <c r="F92" s="9" t="s">
        <v>79</v>
      </c>
      <c r="G92" s="5">
        <v>50.209269190252897</v>
      </c>
      <c r="H92" s="5">
        <v>-3.8144851373886013</v>
      </c>
      <c r="I92" s="5">
        <v>101.905904526645</v>
      </c>
      <c r="J92" s="5">
        <v>-51.696635336392397</v>
      </c>
      <c r="K92" s="5">
        <v>2.3953073063680002</v>
      </c>
      <c r="L92" s="5">
        <v>172.17789861875241</v>
      </c>
      <c r="M92" s="5">
        <v>-30.634412732928361</v>
      </c>
      <c r="N92" s="5">
        <v>168.13961174871901</v>
      </c>
      <c r="O92" s="5">
        <v>39</v>
      </c>
      <c r="P92" s="5">
        <v>8.1327103758875694</v>
      </c>
      <c r="Q92" s="5">
        <v>-67.945805013226007</v>
      </c>
      <c r="R92" s="5">
        <v>16</v>
      </c>
      <c r="S92" s="12" t="s">
        <v>53</v>
      </c>
      <c r="U92" s="3">
        <f t="shared" si="11"/>
        <v>0.54688838699567432</v>
      </c>
      <c r="V92" s="2">
        <f t="shared" si="12"/>
        <v>0.88463391020265569</v>
      </c>
      <c r="W92" s="5">
        <f t="shared" si="13"/>
        <v>1.2401812363325324</v>
      </c>
      <c r="X92" s="5">
        <f t="shared" si="14"/>
        <v>-1.2071825003521195</v>
      </c>
      <c r="Y92" s="5">
        <f t="shared" si="15"/>
        <v>1.3660472524498235</v>
      </c>
      <c r="Z92" s="5">
        <f t="shared" si="16"/>
        <v>0.17312702625438056</v>
      </c>
      <c r="AA92" s="5">
        <f t="shared" si="17"/>
        <v>0.72467385587398125</v>
      </c>
      <c r="AB92" s="5">
        <f t="shared" si="18"/>
        <v>-1.0075308289321581</v>
      </c>
      <c r="AC92" s="5">
        <f t="shared" si="19"/>
        <v>2.247231688697145E-2</v>
      </c>
      <c r="AD92" s="5">
        <f t="shared" si="20"/>
        <v>-0.58412504941008547</v>
      </c>
      <c r="AE92" s="5">
        <f t="shared" si="21"/>
        <v>0.61835740816282658</v>
      </c>
    </row>
    <row r="93" spans="1:31" ht="16" x14ac:dyDescent="0.2">
      <c r="A93" s="5" t="s">
        <v>116</v>
      </c>
      <c r="D93" s="3">
        <v>93</v>
      </c>
      <c r="E93" s="5" t="s">
        <v>58</v>
      </c>
      <c r="F93" s="9" t="s">
        <v>79</v>
      </c>
      <c r="G93" s="5">
        <v>41.1169896057485</v>
      </c>
      <c r="H93" s="5">
        <v>-6.9384167653642486</v>
      </c>
      <c r="I93" s="5">
        <v>88.390795361855112</v>
      </c>
      <c r="J93" s="5">
        <v>-47.273805756106597</v>
      </c>
      <c r="K93" s="5">
        <v>2.5350833760421549</v>
      </c>
      <c r="L93" s="5">
        <v>119.4708772766266</v>
      </c>
      <c r="M93" s="5">
        <v>-28.7108143758079</v>
      </c>
      <c r="N93" s="5">
        <v>148.82986451280499</v>
      </c>
      <c r="O93" s="5">
        <v>9.5</v>
      </c>
      <c r="P93" s="5">
        <v>4.6043772051053802</v>
      </c>
      <c r="Q93" s="5">
        <v>-58.78768710372745</v>
      </c>
      <c r="R93" s="5">
        <v>12</v>
      </c>
      <c r="S93" s="12" t="s">
        <v>53</v>
      </c>
      <c r="U93" s="3">
        <f t="shared" si="11"/>
        <v>-0.29698252026854016</v>
      </c>
      <c r="V93" s="2">
        <f t="shared" si="12"/>
        <v>0.28130735638548382</v>
      </c>
      <c r="W93" s="5">
        <f t="shared" si="13"/>
        <v>0.15099404844274678</v>
      </c>
      <c r="X93" s="5">
        <f t="shared" si="14"/>
        <v>-0.64494435218881152</v>
      </c>
      <c r="Y93" s="5">
        <f t="shared" si="15"/>
        <v>1.7111011462526671</v>
      </c>
      <c r="Z93" s="5">
        <f t="shared" si="16"/>
        <v>-0.78338897130546858</v>
      </c>
      <c r="AA93" s="5">
        <f t="shared" si="17"/>
        <v>0.91921100637732367</v>
      </c>
      <c r="AB93" s="5">
        <f t="shared" si="18"/>
        <v>-1.4248165017875984</v>
      </c>
      <c r="AC93" s="5">
        <f t="shared" si="19"/>
        <v>-0.59977733704474745</v>
      </c>
      <c r="AD93" s="5">
        <f t="shared" si="20"/>
        <v>0.96413269223472009</v>
      </c>
      <c r="AE93" s="5">
        <f t="shared" si="21"/>
        <v>-6.4840546635999738E-2</v>
      </c>
    </row>
    <row r="94" spans="1:31" ht="16" x14ac:dyDescent="0.2">
      <c r="A94" s="5" t="s">
        <v>117</v>
      </c>
      <c r="D94" s="3">
        <v>94</v>
      </c>
      <c r="E94" s="5" t="s">
        <v>58</v>
      </c>
      <c r="F94" s="9" t="s">
        <v>79</v>
      </c>
      <c r="G94" s="5">
        <v>51.097122866859003</v>
      </c>
      <c r="H94" s="5">
        <v>-3.682950971393403</v>
      </c>
      <c r="I94" s="5">
        <v>96.3157104394149</v>
      </c>
      <c r="J94" s="5">
        <v>-45.218587572555897</v>
      </c>
      <c r="K94" s="5">
        <v>1.9751651596117199</v>
      </c>
      <c r="L94" s="5">
        <v>160.5946895557764</v>
      </c>
      <c r="M94" s="5">
        <v>-32.911268754829642</v>
      </c>
      <c r="N94" s="5">
        <v>91.816030740995203</v>
      </c>
      <c r="O94" s="5">
        <v>100</v>
      </c>
      <c r="P94" s="5">
        <v>4.2133562365019896</v>
      </c>
      <c r="Q94" s="5">
        <v>-71.072332163037402</v>
      </c>
      <c r="R94" s="5">
        <v>15</v>
      </c>
      <c r="S94" s="5">
        <v>1</v>
      </c>
      <c r="U94" s="3">
        <f t="shared" si="11"/>
        <v>0.62929169197898693</v>
      </c>
      <c r="V94" s="2">
        <f t="shared" si="12"/>
        <v>0.91003717267115092</v>
      </c>
      <c r="W94" s="5">
        <f t="shared" si="13"/>
        <v>0.78966561685896075</v>
      </c>
      <c r="X94" s="5">
        <f t="shared" si="14"/>
        <v>-0.38368127509859401</v>
      </c>
      <c r="Y94" s="5">
        <f t="shared" si="15"/>
        <v>0.32887626869775882</v>
      </c>
      <c r="Z94" s="5">
        <f t="shared" si="16"/>
        <v>-3.7082628734442173E-2</v>
      </c>
      <c r="AA94" s="5">
        <f t="shared" si="17"/>
        <v>0.49441108767838898</v>
      </c>
      <c r="AB94" s="5">
        <f t="shared" si="18"/>
        <v>-0.14466892912938298</v>
      </c>
      <c r="AC94" s="5">
        <f t="shared" si="19"/>
        <v>-0.66873699890671556</v>
      </c>
      <c r="AD94" s="5">
        <f t="shared" si="20"/>
        <v>-1.112691061771375</v>
      </c>
      <c r="AE94" s="5">
        <f t="shared" si="21"/>
        <v>0.44755791946311996</v>
      </c>
    </row>
    <row r="95" spans="1:31" ht="16" x14ac:dyDescent="0.2">
      <c r="A95" s="5" t="s">
        <v>118</v>
      </c>
      <c r="D95" s="5">
        <v>95</v>
      </c>
      <c r="E95" s="5" t="s">
        <v>58</v>
      </c>
      <c r="F95" s="9" t="s">
        <v>79</v>
      </c>
      <c r="G95" s="5">
        <v>22.455618740751699</v>
      </c>
      <c r="H95" s="5">
        <v>-4.9654073604227023</v>
      </c>
      <c r="I95" s="5">
        <v>73.165749319622194</v>
      </c>
      <c r="J95" s="5">
        <v>-50.710130578870398</v>
      </c>
      <c r="K95" s="5">
        <v>2.9607505765645001</v>
      </c>
      <c r="L95" s="5">
        <v>77.358396597806006</v>
      </c>
      <c r="M95" s="5">
        <v>-20.073872760472561</v>
      </c>
      <c r="N95" s="5">
        <v>281.84700740726799</v>
      </c>
      <c r="O95" s="5">
        <v>120</v>
      </c>
      <c r="P95" s="5">
        <v>8.8349886152914703</v>
      </c>
      <c r="Q95" s="5">
        <v>-62.663993919990901</v>
      </c>
      <c r="R95" s="5">
        <v>2</v>
      </c>
      <c r="S95" s="12" t="s">
        <v>53</v>
      </c>
      <c r="U95" s="3">
        <f t="shared" si="11"/>
        <v>-2.0289780903868575</v>
      </c>
      <c r="V95" s="2">
        <f t="shared" si="12"/>
        <v>0.66235569760786461</v>
      </c>
      <c r="W95" s="5">
        <f t="shared" si="13"/>
        <v>-1.0759975268406174</v>
      </c>
      <c r="X95" s="5">
        <f t="shared" si="14"/>
        <v>-1.0817762196091882</v>
      </c>
      <c r="Y95" s="5">
        <f t="shared" si="15"/>
        <v>2.761911383990733</v>
      </c>
      <c r="Z95" s="5">
        <f t="shared" si="16"/>
        <v>-1.5476374611746422</v>
      </c>
      <c r="AA95" s="5">
        <f t="shared" si="17"/>
        <v>1.7926812943361172</v>
      </c>
      <c r="AB95" s="5">
        <f t="shared" si="18"/>
        <v>0.13823661178955968</v>
      </c>
      <c r="AC95" s="5">
        <f t="shared" si="19"/>
        <v>0.1463246772738955</v>
      </c>
      <c r="AD95" s="5">
        <f t="shared" si="20"/>
        <v>0.30881004880753754</v>
      </c>
      <c r="AE95" s="5">
        <f t="shared" si="21"/>
        <v>-1.7728354336330654</v>
      </c>
    </row>
    <row r="96" spans="1:31" ht="16" x14ac:dyDescent="0.2">
      <c r="A96" s="5" t="s">
        <v>119</v>
      </c>
      <c r="D96" s="3">
        <v>96</v>
      </c>
      <c r="E96" s="5" t="s">
        <v>58</v>
      </c>
      <c r="F96" s="9" t="s">
        <v>79</v>
      </c>
      <c r="G96" s="5">
        <v>33.595551762559296</v>
      </c>
      <c r="H96" s="5">
        <v>-0.69055336007259882</v>
      </c>
      <c r="I96" s="5">
        <v>85.612144099397909</v>
      </c>
      <c r="J96" s="5">
        <v>-52.016592336838599</v>
      </c>
      <c r="K96" s="5">
        <v>2.4040749949445797</v>
      </c>
      <c r="L96" s="5">
        <v>124.3201125997484</v>
      </c>
      <c r="M96" s="5">
        <v>-28.35615170362404</v>
      </c>
      <c r="N96" s="5">
        <v>30.872904081730201</v>
      </c>
      <c r="O96" s="5">
        <v>69.5</v>
      </c>
      <c r="P96" s="5">
        <v>6.7632359363521557</v>
      </c>
      <c r="Q96" s="5">
        <v>-68.649653230779549</v>
      </c>
      <c r="R96" s="5">
        <v>9.5</v>
      </c>
      <c r="S96" s="5">
        <v>0.22433139687025649</v>
      </c>
      <c r="U96" s="3">
        <f t="shared" si="11"/>
        <v>-0.99506076540748356</v>
      </c>
      <c r="V96" s="2">
        <f t="shared" si="12"/>
        <v>1.4879604928620087</v>
      </c>
      <c r="W96" s="5">
        <f t="shared" si="13"/>
        <v>-7.2938390265691391E-2</v>
      </c>
      <c r="X96" s="5">
        <f t="shared" si="14"/>
        <v>-1.2478560167418544</v>
      </c>
      <c r="Y96" s="5">
        <f t="shared" si="15"/>
        <v>1.3876913370921524</v>
      </c>
      <c r="Z96" s="5">
        <f t="shared" si="16"/>
        <v>-0.69538606307071482</v>
      </c>
      <c r="AA96" s="5">
        <f t="shared" si="17"/>
        <v>0.9550787151332365</v>
      </c>
      <c r="AB96" s="5">
        <f t="shared" si="18"/>
        <v>-0.57609987903077053</v>
      </c>
      <c r="AC96" s="5">
        <f t="shared" si="19"/>
        <v>-0.21904540687161944</v>
      </c>
      <c r="AD96" s="5">
        <f t="shared" si="20"/>
        <v>-0.70311657829615948</v>
      </c>
      <c r="AE96" s="5">
        <f t="shared" si="21"/>
        <v>-0.49183926838526615</v>
      </c>
    </row>
    <row r="97" spans="1:31" ht="16" x14ac:dyDescent="0.2">
      <c r="A97" s="5" t="s">
        <v>120</v>
      </c>
      <c r="D97" s="3">
        <v>97</v>
      </c>
      <c r="E97" s="5" t="s">
        <v>58</v>
      </c>
      <c r="F97" s="9" t="s">
        <v>79</v>
      </c>
      <c r="G97" s="5">
        <v>30.084584705146199</v>
      </c>
      <c r="H97" s="5">
        <v>-0.82208732398649431</v>
      </c>
      <c r="I97" s="5">
        <v>84.740734361865094</v>
      </c>
      <c r="J97" s="5">
        <v>-54.656149656718902</v>
      </c>
      <c r="K97" s="5">
        <v>2.9126980301639498</v>
      </c>
      <c r="L97" s="5">
        <v>106.0163480653592</v>
      </c>
      <c r="M97" s="5">
        <v>-25.047589621668884</v>
      </c>
      <c r="N97" s="5">
        <v>47.813989710527203</v>
      </c>
      <c r="O97" s="5">
        <v>100</v>
      </c>
      <c r="P97" s="5">
        <v>3.6753750453472298</v>
      </c>
      <c r="Q97" s="5">
        <v>-78.6881068162932</v>
      </c>
      <c r="R97" s="5">
        <v>16</v>
      </c>
      <c r="S97" s="5">
        <v>0.71665133394664404</v>
      </c>
      <c r="U97" s="3">
        <f t="shared" si="11"/>
        <v>-1.3209199659058211</v>
      </c>
      <c r="V97" s="2">
        <f t="shared" si="12"/>
        <v>1.4625572694215816</v>
      </c>
      <c r="W97" s="5">
        <f t="shared" si="13"/>
        <v>-0.14316559375701432</v>
      </c>
      <c r="X97" s="5">
        <f t="shared" si="14"/>
        <v>-1.583401348652316</v>
      </c>
      <c r="Y97" s="5">
        <f t="shared" si="15"/>
        <v>2.6432879437888115</v>
      </c>
      <c r="Z97" s="5">
        <f t="shared" si="16"/>
        <v>-1.0275589528849001</v>
      </c>
      <c r="AA97" s="5">
        <f t="shared" si="17"/>
        <v>1.2896798741041033</v>
      </c>
      <c r="AB97" s="5">
        <f t="shared" si="18"/>
        <v>-0.14466892912938298</v>
      </c>
      <c r="AC97" s="5">
        <f t="shared" si="19"/>
        <v>-0.76361426639095686</v>
      </c>
      <c r="AD97" s="5">
        <f t="shared" si="20"/>
        <v>-2.4002025550767923</v>
      </c>
      <c r="AE97" s="5">
        <f t="shared" si="21"/>
        <v>0.61835740816282658</v>
      </c>
    </row>
    <row r="98" spans="1:31" ht="16" x14ac:dyDescent="0.2">
      <c r="A98" s="5" t="s">
        <v>121</v>
      </c>
      <c r="D98" s="3">
        <v>98</v>
      </c>
      <c r="E98" s="5" t="s">
        <v>58</v>
      </c>
      <c r="F98" s="9" t="s">
        <v>79</v>
      </c>
      <c r="G98" s="5">
        <v>46.44411185046085</v>
      </c>
      <c r="H98" s="5">
        <v>-1.2988979348893466</v>
      </c>
      <c r="I98" s="5">
        <v>96.332155146321298</v>
      </c>
      <c r="J98" s="5">
        <v>-49.888043295860456</v>
      </c>
      <c r="K98" s="5">
        <v>2.3471852527969448</v>
      </c>
      <c r="L98" s="5">
        <v>170.61467015476421</v>
      </c>
      <c r="M98" s="5">
        <v>-30.124860913093904</v>
      </c>
      <c r="N98" s="5">
        <v>321.00786378392502</v>
      </c>
      <c r="O98" s="5">
        <v>29</v>
      </c>
      <c r="P98" s="5">
        <v>8.6586976119474492</v>
      </c>
      <c r="Q98" s="5">
        <v>-67.422662029133591</v>
      </c>
      <c r="R98" s="5">
        <v>18</v>
      </c>
      <c r="S98" s="5">
        <v>0.153501367293368</v>
      </c>
      <c r="U98" s="3">
        <f t="shared" si="11"/>
        <v>0.19743732680854736</v>
      </c>
      <c r="V98" s="2">
        <f t="shared" si="12"/>
        <v>1.370470586050123</v>
      </c>
      <c r="W98" s="5">
        <f t="shared" si="13"/>
        <v>0.79099090131302308</v>
      </c>
      <c r="X98" s="5">
        <f t="shared" si="14"/>
        <v>-0.97727098755404584</v>
      </c>
      <c r="Y98" s="5">
        <f t="shared" si="15"/>
        <v>1.2472522255100156</v>
      </c>
      <c r="Z98" s="5">
        <f t="shared" si="16"/>
        <v>0.14475788310095128</v>
      </c>
      <c r="AA98" s="5">
        <f t="shared" si="17"/>
        <v>0.77620579792282762</v>
      </c>
      <c r="AB98" s="5">
        <f t="shared" si="18"/>
        <v>-1.1489835993916293</v>
      </c>
      <c r="AC98" s="5">
        <f t="shared" si="19"/>
        <v>0.1152343548716678</v>
      </c>
      <c r="AD98" s="5">
        <f t="shared" si="20"/>
        <v>-0.49568327751848534</v>
      </c>
      <c r="AE98" s="5">
        <f t="shared" si="21"/>
        <v>0.95995638556223972</v>
      </c>
    </row>
    <row r="99" spans="1:31" ht="16" x14ac:dyDescent="0.2">
      <c r="A99" s="5" t="s">
        <v>122</v>
      </c>
      <c r="D99" s="5">
        <v>99</v>
      </c>
      <c r="E99" s="5" t="s">
        <v>58</v>
      </c>
      <c r="F99" s="9" t="s">
        <v>79</v>
      </c>
      <c r="G99" s="5">
        <v>50.538103885773701</v>
      </c>
      <c r="H99" s="5">
        <v>-13.515114869359699</v>
      </c>
      <c r="I99" s="5">
        <v>92.139507573877793</v>
      </c>
      <c r="J99" s="5">
        <v>-41.601403688104099</v>
      </c>
      <c r="K99" s="5">
        <v>1.9552007132907501</v>
      </c>
      <c r="L99" s="5">
        <v>190.2309246196196</v>
      </c>
      <c r="M99" s="5">
        <v>-39.160186095288722</v>
      </c>
      <c r="N99" s="5">
        <v>27.695119728482599</v>
      </c>
      <c r="O99" s="5">
        <v>159</v>
      </c>
      <c r="P99" s="5">
        <v>31.187182772650502</v>
      </c>
      <c r="Q99" s="5">
        <v>-67.144413129036593</v>
      </c>
      <c r="R99" s="5">
        <v>6</v>
      </c>
      <c r="S99" s="5">
        <v>0.13412335039051901</v>
      </c>
      <c r="U99" s="3">
        <f t="shared" si="11"/>
        <v>0.57740812962677579</v>
      </c>
      <c r="V99" s="2">
        <f t="shared" si="12"/>
        <v>-0.98885379792593686</v>
      </c>
      <c r="W99" s="5">
        <f t="shared" si="13"/>
        <v>0.4531040249613536</v>
      </c>
      <c r="X99" s="5">
        <f t="shared" si="14"/>
        <v>7.6141725503866928E-2</v>
      </c>
      <c r="Y99" s="5">
        <f t="shared" si="15"/>
        <v>0.2795916525490314</v>
      </c>
      <c r="Z99" s="5">
        <f t="shared" si="16"/>
        <v>0.50074956561408468</v>
      </c>
      <c r="AA99" s="5">
        <f t="shared" si="17"/>
        <v>-0.13755377579945324</v>
      </c>
      <c r="AB99" s="5">
        <f t="shared" si="18"/>
        <v>0.68990241658149787</v>
      </c>
      <c r="AC99" s="5">
        <f t="shared" si="19"/>
        <v>4.0883121273841878</v>
      </c>
      <c r="AD99" s="5">
        <f t="shared" si="20"/>
        <v>-0.44864293386528636</v>
      </c>
      <c r="AE99" s="5">
        <f t="shared" si="21"/>
        <v>-1.0896374788342391</v>
      </c>
    </row>
    <row r="100" spans="1:31" ht="16" x14ac:dyDescent="0.2">
      <c r="A100" s="5" t="s">
        <v>123</v>
      </c>
      <c r="D100" s="3">
        <v>100</v>
      </c>
      <c r="E100" s="5" t="s">
        <v>58</v>
      </c>
      <c r="F100" s="9" t="s">
        <v>79</v>
      </c>
      <c r="G100" s="5">
        <v>43.106439626747502</v>
      </c>
      <c r="H100" s="5">
        <v>-8.4839411900203032</v>
      </c>
      <c r="I100" s="5">
        <v>94.013871156488307</v>
      </c>
      <c r="J100" s="5">
        <v>-50.907431529740798</v>
      </c>
      <c r="K100" s="5">
        <v>1.86921748866075</v>
      </c>
      <c r="L100" s="5">
        <v>170.05456957707281</v>
      </c>
      <c r="M100" s="5">
        <v>-36.574917328606162</v>
      </c>
      <c r="N100" s="5">
        <v>40.786724450102099</v>
      </c>
      <c r="O100" s="5">
        <v>60</v>
      </c>
      <c r="P100" s="5">
        <v>31.403303971656602</v>
      </c>
      <c r="Q100" s="5">
        <v>-65.570469604298907</v>
      </c>
      <c r="R100" s="5">
        <v>14</v>
      </c>
      <c r="S100" s="5">
        <v>0.15382290722272601</v>
      </c>
      <c r="U100" s="3">
        <f t="shared" si="11"/>
        <v>-0.11233806685353355</v>
      </c>
      <c r="V100" s="2">
        <f t="shared" si="12"/>
        <v>-1.7180586377927326E-2</v>
      </c>
      <c r="W100" s="5">
        <f t="shared" si="13"/>
        <v>0.60415961576229604</v>
      </c>
      <c r="X100" s="5">
        <f t="shared" si="14"/>
        <v>-1.1068574756771792</v>
      </c>
      <c r="Y100" s="5">
        <f t="shared" si="15"/>
        <v>6.7331810578442702E-2</v>
      </c>
      <c r="Z100" s="5">
        <f t="shared" si="16"/>
        <v>0.13459329498418462</v>
      </c>
      <c r="AA100" s="5">
        <f t="shared" si="17"/>
        <v>0.12389935826777476</v>
      </c>
      <c r="AB100" s="5">
        <f t="shared" si="18"/>
        <v>-0.71048001096726832</v>
      </c>
      <c r="AC100" s="5">
        <f t="shared" si="19"/>
        <v>4.1264268219948006</v>
      </c>
      <c r="AD100" s="5">
        <f t="shared" si="20"/>
        <v>-0.18255439131012036</v>
      </c>
      <c r="AE100" s="5">
        <f t="shared" si="21"/>
        <v>0.27675843076341339</v>
      </c>
    </row>
    <row r="101" spans="1:31" ht="16" x14ac:dyDescent="0.2">
      <c r="A101" s="5" t="s">
        <v>124</v>
      </c>
      <c r="D101" s="3">
        <v>101</v>
      </c>
      <c r="E101" s="5" t="s">
        <v>58</v>
      </c>
      <c r="F101" s="9" t="s">
        <v>79</v>
      </c>
      <c r="G101" s="5">
        <v>51.0313559279926</v>
      </c>
      <c r="H101" s="5">
        <v>-7.7933877201377015</v>
      </c>
      <c r="I101" s="5">
        <v>100.45903033391301</v>
      </c>
      <c r="J101" s="5">
        <v>-49.427674405919902</v>
      </c>
      <c r="K101" s="5">
        <v>2.0648839079701098</v>
      </c>
      <c r="L101" s="5">
        <v>187.62373660783521</v>
      </c>
      <c r="M101" s="5">
        <v>-37.785173925091243</v>
      </c>
      <c r="N101" s="5">
        <v>202.346160702578</v>
      </c>
      <c r="O101" s="5">
        <v>39</v>
      </c>
      <c r="P101" s="5">
        <v>12.866792287135199</v>
      </c>
      <c r="Q101" s="5">
        <v>-64.341484688494305</v>
      </c>
      <c r="R101" s="5">
        <v>18</v>
      </c>
      <c r="S101" s="12" t="s">
        <v>53</v>
      </c>
      <c r="U101" s="3">
        <f t="shared" si="11"/>
        <v>0.62318774347483341</v>
      </c>
      <c r="V101" s="2">
        <f t="shared" si="12"/>
        <v>0.11618636745669998</v>
      </c>
      <c r="W101" s="5">
        <f t="shared" si="13"/>
        <v>1.1235771590737478</v>
      </c>
      <c r="X101" s="5">
        <f t="shared" si="14"/>
        <v>-0.9187480561469874</v>
      </c>
      <c r="Y101" s="5">
        <f t="shared" si="15"/>
        <v>0.5503576963866943</v>
      </c>
      <c r="Z101" s="5">
        <f t="shared" si="16"/>
        <v>0.45343486297265773</v>
      </c>
      <c r="AA101" s="5">
        <f t="shared" si="17"/>
        <v>1.5038130716747704E-3</v>
      </c>
      <c r="AB101" s="5">
        <f t="shared" si="18"/>
        <v>-1.0075308289321581</v>
      </c>
      <c r="AC101" s="5">
        <f t="shared" si="19"/>
        <v>0.85736536365250804</v>
      </c>
      <c r="AD101" s="5">
        <f t="shared" si="20"/>
        <v>2.5215963806802369E-2</v>
      </c>
      <c r="AE101" s="5">
        <f t="shared" si="21"/>
        <v>0.95995638556223972</v>
      </c>
    </row>
    <row r="102" spans="1:31" ht="16" x14ac:dyDescent="0.2">
      <c r="A102" s="5" t="s">
        <v>125</v>
      </c>
      <c r="D102" s="3">
        <v>102</v>
      </c>
      <c r="E102" s="5" t="s">
        <v>58</v>
      </c>
      <c r="F102" s="9" t="s">
        <v>79</v>
      </c>
      <c r="G102" s="5">
        <v>46.46643827632905</v>
      </c>
      <c r="H102" s="5">
        <v>-8.1551061441669503</v>
      </c>
      <c r="I102" s="5">
        <v>96.118412206748303</v>
      </c>
      <c r="J102" s="5">
        <v>-49.651973930419246</v>
      </c>
      <c r="K102" s="5">
        <v>2.0857082297245553</v>
      </c>
      <c r="L102" s="5">
        <v>195.47520582246597</v>
      </c>
      <c r="M102" s="5">
        <v>-37.370553878444397</v>
      </c>
      <c r="N102" s="5">
        <v>162.71896787816701</v>
      </c>
      <c r="O102" s="5">
        <v>60</v>
      </c>
      <c r="P102" s="5">
        <v>12.658767142860551</v>
      </c>
      <c r="Q102" s="5">
        <v>-66.7983666559157</v>
      </c>
      <c r="R102" s="5">
        <v>18</v>
      </c>
      <c r="S102" s="12" t="s">
        <v>53</v>
      </c>
      <c r="U102" s="3">
        <f t="shared" si="11"/>
        <v>0.19950948276000702</v>
      </c>
      <c r="V102" s="2">
        <f t="shared" si="12"/>
        <v>4.6327498502143453E-2</v>
      </c>
      <c r="W102" s="5">
        <f t="shared" si="13"/>
        <v>0.77376528600750105</v>
      </c>
      <c r="X102" s="5">
        <f t="shared" si="14"/>
        <v>-0.94726142004654612</v>
      </c>
      <c r="Y102" s="5">
        <f t="shared" si="15"/>
        <v>0.60176501756781997</v>
      </c>
      <c r="Z102" s="5">
        <f t="shared" si="16"/>
        <v>0.59592168383461774</v>
      </c>
      <c r="AA102" s="5">
        <f t="shared" si="17"/>
        <v>4.3435124833129529E-2</v>
      </c>
      <c r="AB102" s="5">
        <f t="shared" si="18"/>
        <v>-0.71048001096726832</v>
      </c>
      <c r="AC102" s="5">
        <f t="shared" si="19"/>
        <v>0.82067847276989347</v>
      </c>
      <c r="AD102" s="5">
        <f t="shared" si="20"/>
        <v>-0.3901408337315222</v>
      </c>
      <c r="AE102" s="5">
        <f t="shared" si="21"/>
        <v>0.95995638556223972</v>
      </c>
    </row>
    <row r="103" spans="1:31" ht="16" x14ac:dyDescent="0.2">
      <c r="A103" s="5" t="s">
        <v>126</v>
      </c>
      <c r="D103" s="5">
        <v>103</v>
      </c>
      <c r="E103" s="5" t="s">
        <v>58</v>
      </c>
      <c r="F103" s="9" t="s">
        <v>79</v>
      </c>
      <c r="G103" s="5">
        <v>43.435274334755803</v>
      </c>
      <c r="H103" s="5">
        <v>-5.9190286840130995</v>
      </c>
      <c r="I103" s="5">
        <v>94.540006815683697</v>
      </c>
      <c r="J103" s="5">
        <v>-51.1047324809279</v>
      </c>
      <c r="K103" s="5">
        <v>1.78452744567883</v>
      </c>
      <c r="L103" s="5">
        <v>112.7604567405368</v>
      </c>
      <c r="M103" s="5">
        <v>-33.512140094665085</v>
      </c>
      <c r="N103" s="5">
        <v>159.580532836934</v>
      </c>
      <c r="O103" s="5">
        <v>60</v>
      </c>
      <c r="P103" s="5">
        <v>12.086184974681199</v>
      </c>
      <c r="Q103" s="5">
        <v>-68.565258990264496</v>
      </c>
      <c r="R103" s="5">
        <v>17</v>
      </c>
      <c r="S103" s="5">
        <v>1</v>
      </c>
      <c r="U103" s="3">
        <f t="shared" si="11"/>
        <v>-8.1818323063444845E-2</v>
      </c>
      <c r="V103" s="2">
        <f t="shared" si="12"/>
        <v>0.47818231120721655</v>
      </c>
      <c r="W103" s="5">
        <f t="shared" si="13"/>
        <v>0.6465610652881737</v>
      </c>
      <c r="X103" s="5">
        <f t="shared" si="14"/>
        <v>-1.1319387317854299</v>
      </c>
      <c r="Y103" s="5">
        <f t="shared" si="15"/>
        <v>-0.14173565830493126</v>
      </c>
      <c r="Z103" s="5">
        <f t="shared" si="16"/>
        <v>-0.90516827944470468</v>
      </c>
      <c r="AA103" s="5">
        <f t="shared" si="17"/>
        <v>0.4336438293585731</v>
      </c>
      <c r="AB103" s="5">
        <f t="shared" si="18"/>
        <v>-0.71048001096726832</v>
      </c>
      <c r="AC103" s="5">
        <f t="shared" si="19"/>
        <v>0.71969904742892143</v>
      </c>
      <c r="AD103" s="5">
        <f t="shared" si="20"/>
        <v>-0.68884901398666931</v>
      </c>
      <c r="AE103" s="5">
        <f t="shared" si="21"/>
        <v>0.7891568968625331</v>
      </c>
    </row>
    <row r="104" spans="1:31" ht="16" x14ac:dyDescent="0.2">
      <c r="A104" s="5" t="s">
        <v>127</v>
      </c>
      <c r="D104" s="3">
        <v>104</v>
      </c>
      <c r="E104" s="5" t="s">
        <v>58</v>
      </c>
      <c r="F104" s="9" t="s">
        <v>79</v>
      </c>
      <c r="G104" s="5">
        <v>44.816380101974801</v>
      </c>
      <c r="H104" s="5">
        <v>-12.5943773309127</v>
      </c>
      <c r="I104" s="5">
        <v>88.982695988350898</v>
      </c>
      <c r="J104" s="5">
        <v>-44.166315886376097</v>
      </c>
      <c r="K104" s="5">
        <v>1.88665711552761</v>
      </c>
      <c r="L104" s="5">
        <v>170.63996254854283</v>
      </c>
      <c r="M104" s="5">
        <v>-42.945825210225607</v>
      </c>
      <c r="N104" s="5">
        <v>135.81676220677701</v>
      </c>
      <c r="O104" s="5">
        <v>100</v>
      </c>
      <c r="P104" s="5">
        <v>13.124138109972799</v>
      </c>
      <c r="Q104" s="5">
        <v>-68.030771208622298</v>
      </c>
      <c r="R104" s="5">
        <v>19</v>
      </c>
      <c r="S104" s="5">
        <v>0.26907894736841997</v>
      </c>
      <c r="U104" s="3">
        <f t="shared" si="11"/>
        <v>4.6364600259459363E-2</v>
      </c>
      <c r="V104" s="2">
        <f t="shared" si="12"/>
        <v>-0.81103127419762155</v>
      </c>
      <c r="W104" s="5">
        <f t="shared" si="13"/>
        <v>0.19869551877660993</v>
      </c>
      <c r="X104" s="5">
        <f t="shared" si="14"/>
        <v>-0.24991458265366789</v>
      </c>
      <c r="Y104" s="5">
        <f t="shared" si="15"/>
        <v>0.11038360886485137</v>
      </c>
      <c r="Z104" s="5">
        <f t="shared" si="16"/>
        <v>0.14521688417234158</v>
      </c>
      <c r="AA104" s="5">
        <f t="shared" si="17"/>
        <v>-0.52040264002714198</v>
      </c>
      <c r="AB104" s="5">
        <f t="shared" si="18"/>
        <v>-0.14466892912938298</v>
      </c>
      <c r="AC104" s="5">
        <f t="shared" si="19"/>
        <v>0.9027503489842561</v>
      </c>
      <c r="AD104" s="5">
        <f t="shared" si="20"/>
        <v>-0.59848930755792751</v>
      </c>
      <c r="AE104" s="5">
        <f t="shared" si="21"/>
        <v>1.1307558742619463</v>
      </c>
    </row>
    <row r="105" spans="1:31" ht="16" x14ac:dyDescent="0.2">
      <c r="A105" s="5" t="s">
        <v>128</v>
      </c>
      <c r="D105" s="3">
        <v>105</v>
      </c>
      <c r="E105" s="5" t="s">
        <v>58</v>
      </c>
      <c r="F105" s="9" t="s">
        <v>79</v>
      </c>
      <c r="G105" s="5">
        <v>45.770000744748799</v>
      </c>
      <c r="H105" s="5">
        <v>-7.2014847139560985</v>
      </c>
      <c r="I105" s="5">
        <v>93.093131716191294</v>
      </c>
      <c r="J105" s="5">
        <v>-47.323130971442502</v>
      </c>
      <c r="K105" s="5">
        <v>1.9250493093197001</v>
      </c>
      <c r="L105" s="5">
        <v>167.32993388808839</v>
      </c>
      <c r="M105" s="5">
        <v>-36.192706917329517</v>
      </c>
      <c r="N105" s="5">
        <v>207.36692339129999</v>
      </c>
      <c r="O105" s="5">
        <v>60</v>
      </c>
      <c r="P105" s="5">
        <v>11.471250533340401</v>
      </c>
      <c r="Q105" s="5">
        <v>-66.645196471030403</v>
      </c>
      <c r="R105" s="5">
        <v>20</v>
      </c>
      <c r="S105" s="5">
        <v>0.184064920693471</v>
      </c>
      <c r="U105" s="3">
        <f t="shared" si="11"/>
        <v>0.13487185628082618</v>
      </c>
      <c r="V105" s="2">
        <f t="shared" si="12"/>
        <v>0.23050090549445584</v>
      </c>
      <c r="W105" s="5">
        <f t="shared" si="13"/>
        <v>0.52995691495326347</v>
      </c>
      <c r="X105" s="5">
        <f t="shared" si="14"/>
        <v>-0.6512146633606074</v>
      </c>
      <c r="Y105" s="5">
        <f t="shared" si="15"/>
        <v>0.20515931682742514</v>
      </c>
      <c r="Z105" s="5">
        <f t="shared" si="16"/>
        <v>8.5147176465756008E-2</v>
      </c>
      <c r="AA105" s="5">
        <f t="shared" si="17"/>
        <v>0.16255302213021114</v>
      </c>
      <c r="AB105" s="5">
        <f t="shared" si="18"/>
        <v>-0.71048001096726832</v>
      </c>
      <c r="AC105" s="5">
        <f t="shared" si="19"/>
        <v>0.61125046142699935</v>
      </c>
      <c r="AD105" s="5">
        <f t="shared" si="20"/>
        <v>-0.36424611094226161</v>
      </c>
      <c r="AE105" s="5">
        <f t="shared" si="21"/>
        <v>1.3015553629616528</v>
      </c>
    </row>
    <row r="106" spans="1:31" ht="16" x14ac:dyDescent="0.2">
      <c r="A106" s="5" t="s">
        <v>129</v>
      </c>
      <c r="D106" s="3">
        <v>106</v>
      </c>
      <c r="E106" s="5" t="s">
        <v>58</v>
      </c>
      <c r="F106" s="9" t="s">
        <v>79</v>
      </c>
      <c r="G106" s="5">
        <v>51.721908784963702</v>
      </c>
      <c r="H106" s="5">
        <v>1.3153396989763999</v>
      </c>
      <c r="I106" s="5">
        <v>105.654621601184</v>
      </c>
      <c r="J106" s="5">
        <v>-53.9327128162207</v>
      </c>
      <c r="K106" s="5">
        <v>2.07894602792256</v>
      </c>
      <c r="L106" s="5">
        <v>221.68524158403639</v>
      </c>
      <c r="M106" s="5">
        <v>-31.724338069036563</v>
      </c>
      <c r="N106" s="5">
        <v>146.510232819094</v>
      </c>
      <c r="O106" s="5">
        <v>60</v>
      </c>
      <c r="P106" s="5">
        <v>3.5278789831119401</v>
      </c>
      <c r="Q106" s="5">
        <v>-67.679506498405203</v>
      </c>
      <c r="R106" s="5">
        <v>25</v>
      </c>
      <c r="S106" s="5">
        <v>0.150111468912559</v>
      </c>
      <c r="U106" s="3">
        <f t="shared" si="11"/>
        <v>0.68727920266392772</v>
      </c>
      <c r="V106" s="2">
        <f t="shared" si="12"/>
        <v>1.8753596714496816</v>
      </c>
      <c r="W106" s="5">
        <f t="shared" si="13"/>
        <v>1.5422916047229629</v>
      </c>
      <c r="X106" s="5">
        <f t="shared" si="14"/>
        <v>-1.491436740445879</v>
      </c>
      <c r="Y106" s="5">
        <f t="shared" si="15"/>
        <v>0.58507171614720832</v>
      </c>
      <c r="Z106" s="5">
        <f t="shared" si="16"/>
        <v>1.0715759299705216</v>
      </c>
      <c r="AA106" s="5">
        <f t="shared" si="17"/>
        <v>0.61444763928202706</v>
      </c>
      <c r="AB106" s="5">
        <f t="shared" si="18"/>
        <v>-0.71048001096726832</v>
      </c>
      <c r="AC106" s="5">
        <f t="shared" si="19"/>
        <v>-0.78962637160885907</v>
      </c>
      <c r="AD106" s="5">
        <f t="shared" si="20"/>
        <v>-0.53910502005097471</v>
      </c>
      <c r="AE106" s="5">
        <f t="shared" si="21"/>
        <v>2.1555528064601859</v>
      </c>
    </row>
    <row r="107" spans="1:31" ht="16" x14ac:dyDescent="0.2">
      <c r="A107" s="5" t="s">
        <v>130</v>
      </c>
      <c r="D107" s="5">
        <v>107</v>
      </c>
      <c r="E107" s="5" t="s">
        <v>58</v>
      </c>
      <c r="F107" s="9" t="s">
        <v>79</v>
      </c>
      <c r="G107" s="5">
        <v>51.064239397428601</v>
      </c>
      <c r="H107" s="5">
        <v>-5.9519120333074014</v>
      </c>
      <c r="I107" s="5">
        <v>99.209457643713193</v>
      </c>
      <c r="J107" s="5">
        <v>-48.1452182462846</v>
      </c>
      <c r="K107" s="5">
        <v>1.9876769535691601</v>
      </c>
      <c r="L107" s="5">
        <v>185.5097974824676</v>
      </c>
      <c r="M107" s="5">
        <v>-38.332742353387516</v>
      </c>
      <c r="N107" s="5">
        <v>135.02690925076499</v>
      </c>
      <c r="O107" s="5">
        <v>120</v>
      </c>
      <c r="P107" s="5">
        <v>11.6887387824834</v>
      </c>
      <c r="Q107" s="5">
        <v>-73.688506863299395</v>
      </c>
      <c r="R107" s="5">
        <v>14</v>
      </c>
      <c r="S107" s="5">
        <v>0.171718452758402</v>
      </c>
      <c r="U107" s="3">
        <f t="shared" si="11"/>
        <v>0.62623971772717002</v>
      </c>
      <c r="V107" s="2">
        <f t="shared" si="12"/>
        <v>0.4718315327106482</v>
      </c>
      <c r="W107" s="5">
        <f t="shared" si="13"/>
        <v>1.0228736761859893</v>
      </c>
      <c r="X107" s="5">
        <f t="shared" si="14"/>
        <v>-0.75571989437743847</v>
      </c>
      <c r="Y107" s="5">
        <f t="shared" si="15"/>
        <v>0.35976312389076831</v>
      </c>
      <c r="Z107" s="5">
        <f t="shared" si="16"/>
        <v>0.41507153793941959</v>
      </c>
      <c r="AA107" s="5">
        <f t="shared" si="17"/>
        <v>-5.3872820700153715E-2</v>
      </c>
      <c r="AB107" s="5">
        <f t="shared" si="18"/>
        <v>0.13823661178955968</v>
      </c>
      <c r="AC107" s="5">
        <f t="shared" si="19"/>
        <v>0.6496062462162927</v>
      </c>
      <c r="AD107" s="5">
        <f t="shared" si="20"/>
        <v>-1.5549776509159441</v>
      </c>
      <c r="AE107" s="5">
        <f t="shared" si="21"/>
        <v>0.27675843076341339</v>
      </c>
    </row>
    <row r="108" spans="1:31" ht="16" x14ac:dyDescent="0.2">
      <c r="A108" s="5" t="s">
        <v>131</v>
      </c>
      <c r="D108" s="3">
        <v>108</v>
      </c>
      <c r="E108" s="5" t="s">
        <v>58</v>
      </c>
      <c r="F108" s="9" t="s">
        <v>79</v>
      </c>
      <c r="G108" s="5">
        <v>47.282640374992198</v>
      </c>
      <c r="H108" s="5">
        <v>-9.141609365068998</v>
      </c>
      <c r="I108" s="5">
        <v>74.612610456370902</v>
      </c>
      <c r="J108" s="5">
        <v>-27.3299700813788</v>
      </c>
      <c r="K108" s="5">
        <v>1.91544565600212</v>
      </c>
      <c r="L108" s="5">
        <v>101.66186752352721</v>
      </c>
      <c r="M108" s="5">
        <v>-33.58986438264624</v>
      </c>
      <c r="N108" s="5">
        <v>117.070177204714</v>
      </c>
      <c r="O108" s="5">
        <v>159</v>
      </c>
      <c r="P108" s="5">
        <v>12.811518675376499</v>
      </c>
      <c r="Q108" s="5">
        <v>-59.206868359020604</v>
      </c>
      <c r="R108" s="5">
        <v>7</v>
      </c>
      <c r="S108" s="5">
        <v>0.415207734517899</v>
      </c>
      <c r="U108" s="3">
        <f t="shared" si="11"/>
        <v>0.27526267524692388</v>
      </c>
      <c r="V108" s="2">
        <f t="shared" si="12"/>
        <v>-0.14419638597290194</v>
      </c>
      <c r="W108" s="5">
        <f t="shared" si="13"/>
        <v>-0.9593945017679123</v>
      </c>
      <c r="X108" s="5">
        <f t="shared" si="14"/>
        <v>1.8903523472394503</v>
      </c>
      <c r="Y108" s="5">
        <f t="shared" si="15"/>
        <v>0.18145155354799786</v>
      </c>
      <c r="Z108" s="5">
        <f t="shared" si="16"/>
        <v>-1.106583154846327</v>
      </c>
      <c r="AA108" s="5">
        <f t="shared" si="17"/>
        <v>0.42578342468896763</v>
      </c>
      <c r="AB108" s="5">
        <f t="shared" si="18"/>
        <v>0.68990241658149787</v>
      </c>
      <c r="AC108" s="5">
        <f t="shared" si="19"/>
        <v>0.84761742202578727</v>
      </c>
      <c r="AD108" s="5">
        <f t="shared" si="20"/>
        <v>0.89326653500967634</v>
      </c>
      <c r="AE108" s="5">
        <f t="shared" si="21"/>
        <v>-0.9188379901345326</v>
      </c>
    </row>
    <row r="109" spans="1:31" ht="16" x14ac:dyDescent="0.2">
      <c r="A109" s="5" t="s">
        <v>132</v>
      </c>
      <c r="D109" s="3">
        <v>109</v>
      </c>
      <c r="E109" s="5" t="s">
        <v>58</v>
      </c>
      <c r="F109" s="9" t="s">
        <v>79</v>
      </c>
      <c r="G109" s="5">
        <v>46.197485858886402</v>
      </c>
      <c r="H109" s="5">
        <v>-9.7992792018474972</v>
      </c>
      <c r="I109" s="5">
        <v>74.513960517591997</v>
      </c>
      <c r="J109" s="5">
        <v>-28.316474658705602</v>
      </c>
      <c r="K109" s="5">
        <v>1.9019929878575501</v>
      </c>
      <c r="L109" s="5">
        <v>112.11331724407999</v>
      </c>
      <c r="M109" s="5">
        <v>-30.709825037607203</v>
      </c>
      <c r="N109" s="5">
        <v>63.284772781681703</v>
      </c>
      <c r="O109" s="5">
        <v>100</v>
      </c>
      <c r="P109" s="5">
        <v>4.9644570330251598</v>
      </c>
      <c r="Q109" s="5">
        <v>-55.974767197445303</v>
      </c>
      <c r="R109" s="5">
        <v>7</v>
      </c>
      <c r="S109" s="5">
        <v>7.7311714252144101E-2</v>
      </c>
      <c r="U109" s="3">
        <f t="shared" si="11"/>
        <v>0.17454752262571552</v>
      </c>
      <c r="V109" s="2">
        <f t="shared" si="12"/>
        <v>-0.27121250649862522</v>
      </c>
      <c r="W109" s="5">
        <f t="shared" si="13"/>
        <v>-0.96734473347480987</v>
      </c>
      <c r="X109" s="5">
        <f t="shared" si="14"/>
        <v>1.7649460894032607</v>
      </c>
      <c r="Y109" s="5">
        <f t="shared" si="15"/>
        <v>0.14824203824153312</v>
      </c>
      <c r="Z109" s="5">
        <f t="shared" si="16"/>
        <v>-0.91691243165159531</v>
      </c>
      <c r="AA109" s="5">
        <f t="shared" si="17"/>
        <v>0.7170472664610682</v>
      </c>
      <c r="AB109" s="5">
        <f t="shared" si="18"/>
        <v>-0.14466892912938298</v>
      </c>
      <c r="AC109" s="5">
        <f t="shared" si="19"/>
        <v>-0.53627439175423675</v>
      </c>
      <c r="AD109" s="5">
        <f t="shared" si="20"/>
        <v>1.439680732188551</v>
      </c>
      <c r="AE109" s="5">
        <f t="shared" si="21"/>
        <v>-0.9188379901345326</v>
      </c>
    </row>
    <row r="110" spans="1:31" ht="16" x14ac:dyDescent="0.2">
      <c r="A110" s="5" t="s">
        <v>133</v>
      </c>
      <c r="D110" s="3">
        <v>110</v>
      </c>
      <c r="E110" s="5" t="s">
        <v>58</v>
      </c>
      <c r="F110" s="9" t="s">
        <v>79</v>
      </c>
      <c r="G110" s="5">
        <v>44.027176807688001</v>
      </c>
      <c r="H110" s="5">
        <v>-10.3582989597964</v>
      </c>
      <c r="I110" s="5">
        <v>77.999611184652494</v>
      </c>
      <c r="J110" s="5">
        <v>-33.9724343769645</v>
      </c>
      <c r="K110" s="5">
        <v>1.7277913504237701</v>
      </c>
      <c r="L110" s="5">
        <v>120.933828282706</v>
      </c>
      <c r="M110" s="5">
        <v>-39.350563520122243</v>
      </c>
      <c r="N110" s="5">
        <v>129.789086120939</v>
      </c>
      <c r="O110" s="5">
        <v>140</v>
      </c>
      <c r="P110" s="5">
        <v>12.5930634282656</v>
      </c>
      <c r="Q110" s="5">
        <v>-62.620772025081401</v>
      </c>
      <c r="R110" s="5">
        <v>7</v>
      </c>
      <c r="S110" s="5">
        <v>0.12864077669902901</v>
      </c>
      <c r="U110" s="3">
        <f t="shared" si="11"/>
        <v>-2.6882784378901417E-2</v>
      </c>
      <c r="V110" s="2">
        <f t="shared" si="12"/>
        <v>-0.3791762855578929</v>
      </c>
      <c r="W110" s="5">
        <f t="shared" si="13"/>
        <v>-0.68643497523825481</v>
      </c>
      <c r="X110" s="5">
        <f t="shared" si="14"/>
        <v>1.0459501931438666</v>
      </c>
      <c r="Y110" s="5">
        <f t="shared" si="15"/>
        <v>-0.28179547421308565</v>
      </c>
      <c r="Z110" s="5">
        <f t="shared" si="16"/>
        <v>-0.75683964248117364</v>
      </c>
      <c r="AA110" s="5">
        <f t="shared" si="17"/>
        <v>-0.15680700587743993</v>
      </c>
      <c r="AB110" s="5">
        <f t="shared" si="18"/>
        <v>0.4211421527085023</v>
      </c>
      <c r="AC110" s="5">
        <f t="shared" si="19"/>
        <v>0.80909109944378732</v>
      </c>
      <c r="AD110" s="5">
        <f t="shared" si="20"/>
        <v>0.31611707783506143</v>
      </c>
      <c r="AE110" s="5">
        <f t="shared" si="21"/>
        <v>-0.9188379901345326</v>
      </c>
    </row>
    <row r="111" spans="1:31" ht="16" x14ac:dyDescent="0.2">
      <c r="A111" s="5" t="s">
        <v>134</v>
      </c>
      <c r="D111" s="5">
        <v>111</v>
      </c>
      <c r="E111" s="5" t="s">
        <v>20</v>
      </c>
      <c r="F111" s="9" t="s">
        <v>135</v>
      </c>
      <c r="G111" s="5">
        <v>46.789388314876398</v>
      </c>
      <c r="H111" s="5">
        <v>-6.6424652566443001</v>
      </c>
      <c r="I111" s="5">
        <v>92.550553479077138</v>
      </c>
      <c r="J111" s="5">
        <v>-45.761165164200797</v>
      </c>
      <c r="K111" s="5">
        <v>1.606901188521215</v>
      </c>
      <c r="L111" s="5">
        <v>168.22718172333259</v>
      </c>
      <c r="M111" s="5">
        <v>-43.739492344931001</v>
      </c>
      <c r="N111" s="5">
        <v>132.94659920840999</v>
      </c>
      <c r="O111" s="5">
        <v>130</v>
      </c>
      <c r="P111" s="5">
        <v>4.0837043342667654</v>
      </c>
      <c r="Q111" s="5">
        <v>-65.106794314531498</v>
      </c>
      <c r="R111" s="5">
        <v>14</v>
      </c>
      <c r="S111" s="12" t="s">
        <v>53</v>
      </c>
      <c r="U111" s="3">
        <f t="shared" si="11"/>
        <v>0.22948305973782251</v>
      </c>
      <c r="V111" s="2">
        <f t="shared" si="12"/>
        <v>0.33846462649152187</v>
      </c>
      <c r="W111" s="5">
        <f t="shared" si="13"/>
        <v>0.48623035254915192</v>
      </c>
      <c r="X111" s="5">
        <f t="shared" si="14"/>
        <v>-0.4526547263301523</v>
      </c>
      <c r="Y111" s="5">
        <f t="shared" si="15"/>
        <v>-0.58022725287287613</v>
      </c>
      <c r="Z111" s="5">
        <f t="shared" si="16"/>
        <v>0.10143024248491433</v>
      </c>
      <c r="AA111" s="5">
        <f t="shared" si="17"/>
        <v>-0.60066770277385073</v>
      </c>
      <c r="AB111" s="5">
        <f t="shared" si="18"/>
        <v>0.279689382249031</v>
      </c>
      <c r="AC111" s="5">
        <f t="shared" si="19"/>
        <v>-0.69160214439964318</v>
      </c>
      <c r="AD111" s="5">
        <f t="shared" si="20"/>
        <v>-0.10416613904190994</v>
      </c>
      <c r="AE111" s="5">
        <f t="shared" si="21"/>
        <v>0.27675843076341339</v>
      </c>
    </row>
    <row r="112" spans="1:31" ht="16" x14ac:dyDescent="0.2">
      <c r="A112" s="5" t="s">
        <v>136</v>
      </c>
      <c r="D112" s="3">
        <v>112</v>
      </c>
      <c r="E112" s="5" t="s">
        <v>20</v>
      </c>
      <c r="F112" s="9" t="s">
        <v>135</v>
      </c>
      <c r="G112" s="5">
        <v>47.9403097756338</v>
      </c>
      <c r="H112" s="5">
        <v>-3.8144850155992955</v>
      </c>
      <c r="I112" s="5">
        <v>95.723809620317695</v>
      </c>
      <c r="J112" s="5">
        <v>-47.783499844683902</v>
      </c>
      <c r="K112" s="5">
        <v>1.66997599744904</v>
      </c>
      <c r="L112" s="5">
        <v>156.64867462725641</v>
      </c>
      <c r="M112" s="5">
        <v>-43.629553300033201</v>
      </c>
      <c r="N112" s="5">
        <v>151.738593896585</v>
      </c>
      <c r="O112" s="5">
        <v>159</v>
      </c>
      <c r="P112" s="5">
        <v>1.0351134193559699</v>
      </c>
      <c r="Q112" s="5">
        <v>-71.6779291599846</v>
      </c>
      <c r="R112" s="5">
        <v>10</v>
      </c>
      <c r="S112" s="5">
        <v>0.66743827160493896</v>
      </c>
      <c r="U112" s="3">
        <f t="shared" si="11"/>
        <v>0.3363021614001197</v>
      </c>
      <c r="V112" s="2">
        <f t="shared" si="12"/>
        <v>0.88463393372388821</v>
      </c>
      <c r="W112" s="5">
        <f t="shared" si="13"/>
        <v>0.74196413100328451</v>
      </c>
      <c r="X112" s="5">
        <f t="shared" si="14"/>
        <v>-0.70973759264483893</v>
      </c>
      <c r="Y112" s="5">
        <f t="shared" si="15"/>
        <v>-0.42451956648454803</v>
      </c>
      <c r="Z112" s="5">
        <f t="shared" si="16"/>
        <v>-0.10869408219221253</v>
      </c>
      <c r="AA112" s="5">
        <f t="shared" si="17"/>
        <v>-0.58954935863287705</v>
      </c>
      <c r="AB112" s="5">
        <f t="shared" si="18"/>
        <v>0.68990241658149787</v>
      </c>
      <c r="AC112" s="5">
        <f t="shared" si="19"/>
        <v>-1.2292454308929326</v>
      </c>
      <c r="AD112" s="5">
        <f t="shared" si="20"/>
        <v>-1.2150723859807817</v>
      </c>
      <c r="AE112" s="5">
        <f t="shared" si="21"/>
        <v>-0.40643952403541289</v>
      </c>
    </row>
    <row r="113" spans="1:31" ht="16" x14ac:dyDescent="0.2">
      <c r="A113" s="5" t="s">
        <v>137</v>
      </c>
      <c r="D113" s="3">
        <v>113</v>
      </c>
      <c r="E113" s="5" t="s">
        <v>20</v>
      </c>
      <c r="F113" s="9" t="s">
        <v>135</v>
      </c>
      <c r="G113" s="5">
        <v>48.433561824606002</v>
      </c>
      <c r="H113" s="5">
        <v>-4.7681063428449022</v>
      </c>
      <c r="I113" s="5">
        <v>97.631051790638296</v>
      </c>
      <c r="J113" s="5">
        <v>-49.1974899660323</v>
      </c>
      <c r="K113" s="5">
        <v>1.5793729079488801</v>
      </c>
      <c r="L113" s="5">
        <v>167.57421154304322</v>
      </c>
      <c r="M113" s="5">
        <v>-46.397946113958795</v>
      </c>
      <c r="N113" s="5">
        <v>142.97809977693501</v>
      </c>
      <c r="O113" s="5">
        <v>140</v>
      </c>
      <c r="P113" s="5">
        <v>1.44871164112262</v>
      </c>
      <c r="Q113" s="5">
        <v>-73.818069071813795</v>
      </c>
      <c r="R113" s="5">
        <v>9</v>
      </c>
      <c r="S113" s="5">
        <v>0.50729115175481998</v>
      </c>
      <c r="U113" s="3">
        <f t="shared" si="11"/>
        <v>0.38208177587496356</v>
      </c>
      <c r="V113" s="2">
        <f t="shared" si="12"/>
        <v>0.70046054661730761</v>
      </c>
      <c r="W113" s="5">
        <f t="shared" si="13"/>
        <v>0.89566941823309743</v>
      </c>
      <c r="X113" s="5">
        <f t="shared" si="14"/>
        <v>-0.88948659108957717</v>
      </c>
      <c r="Y113" s="5">
        <f t="shared" si="15"/>
        <v>-0.64818409572390734</v>
      </c>
      <c r="Z113" s="5">
        <f t="shared" si="16"/>
        <v>8.9580276247548274E-2</v>
      </c>
      <c r="AA113" s="5">
        <f t="shared" si="17"/>
        <v>-0.86952217494428585</v>
      </c>
      <c r="AB113" s="5">
        <f t="shared" si="18"/>
        <v>0.4211421527085023</v>
      </c>
      <c r="AC113" s="5">
        <f t="shared" si="19"/>
        <v>-1.1563040906328181</v>
      </c>
      <c r="AD113" s="5">
        <f t="shared" si="20"/>
        <v>-1.5768812444642393</v>
      </c>
      <c r="AE113" s="5">
        <f t="shared" si="21"/>
        <v>-0.57723901273511946</v>
      </c>
    </row>
    <row r="114" spans="1:31" ht="16" x14ac:dyDescent="0.2">
      <c r="A114" s="5" t="s">
        <v>138</v>
      </c>
      <c r="D114" s="3">
        <v>114</v>
      </c>
      <c r="E114" s="5" t="s">
        <v>20</v>
      </c>
      <c r="F114" s="9" t="s">
        <v>135</v>
      </c>
      <c r="G114" s="5">
        <v>46.361903210216703</v>
      </c>
      <c r="H114" s="5">
        <v>-6.1820963998249994</v>
      </c>
      <c r="I114" s="5">
        <v>92.862946912247807</v>
      </c>
      <c r="J114" s="5">
        <v>-46.501043702031097</v>
      </c>
      <c r="K114" s="5">
        <v>1.6283354858458301</v>
      </c>
      <c r="L114" s="5">
        <v>159.55064129347119</v>
      </c>
      <c r="M114" s="5">
        <v>-45.010907839477198</v>
      </c>
      <c r="N114" s="5">
        <v>116.162043544545</v>
      </c>
      <c r="O114" s="5">
        <v>60</v>
      </c>
      <c r="P114" s="5">
        <v>0.97936985549425304</v>
      </c>
      <c r="Q114" s="5">
        <v>-59.971141744903598</v>
      </c>
      <c r="R114" s="5">
        <v>10</v>
      </c>
      <c r="S114" s="5">
        <v>1</v>
      </c>
      <c r="U114" s="3">
        <f t="shared" si="11"/>
        <v>0.18980739427259499</v>
      </c>
      <c r="V114" s="2">
        <f t="shared" si="12"/>
        <v>0.42737590527310243</v>
      </c>
      <c r="W114" s="5">
        <f t="shared" si="13"/>
        <v>0.51140624427460268</v>
      </c>
      <c r="X114" s="5">
        <f t="shared" si="14"/>
        <v>-0.54670943303413599</v>
      </c>
      <c r="Y114" s="5">
        <f t="shared" si="15"/>
        <v>-0.52731413426804052</v>
      </c>
      <c r="Z114" s="5">
        <f t="shared" si="16"/>
        <v>-5.6029798194791293E-2</v>
      </c>
      <c r="AA114" s="5">
        <f t="shared" si="17"/>
        <v>-0.72924836333600052</v>
      </c>
      <c r="AB114" s="5">
        <f t="shared" si="18"/>
        <v>-0.71048001096726832</v>
      </c>
      <c r="AC114" s="5">
        <f t="shared" si="19"/>
        <v>-1.239076252315668</v>
      </c>
      <c r="AD114" s="5">
        <f t="shared" si="20"/>
        <v>0.76405961737443229</v>
      </c>
      <c r="AE114" s="5">
        <f t="shared" si="21"/>
        <v>-0.40643952403541289</v>
      </c>
    </row>
    <row r="115" spans="1:31" ht="16" x14ac:dyDescent="0.2">
      <c r="A115" s="5" t="s">
        <v>139</v>
      </c>
      <c r="D115" s="5">
        <v>115</v>
      </c>
      <c r="E115" s="5" t="s">
        <v>20</v>
      </c>
      <c r="F115" s="9" t="s">
        <v>135</v>
      </c>
      <c r="G115" s="5">
        <v>45.274582499326897</v>
      </c>
      <c r="H115" s="5">
        <v>-5.7217275250475979</v>
      </c>
      <c r="I115" s="5">
        <v>92.961597547922693</v>
      </c>
      <c r="J115" s="5">
        <v>-47.687015048595804</v>
      </c>
      <c r="K115" s="5">
        <v>1.6710536800879801</v>
      </c>
      <c r="L115" s="5">
        <v>166.01459421179001</v>
      </c>
      <c r="M115" s="5">
        <v>-45.247668854044804</v>
      </c>
      <c r="N115" s="5">
        <v>173.547810666381</v>
      </c>
      <c r="O115" s="5">
        <v>120</v>
      </c>
      <c r="P115" s="5">
        <v>1.4199727660389001</v>
      </c>
      <c r="Q115" s="5">
        <v>-71.792558234368499</v>
      </c>
      <c r="R115" s="5">
        <v>7</v>
      </c>
      <c r="S115" s="5">
        <v>0.54966078697422005</v>
      </c>
      <c r="U115" s="3">
        <f t="shared" si="11"/>
        <v>8.8891193196958415E-2</v>
      </c>
      <c r="V115" s="2">
        <f t="shared" si="12"/>
        <v>0.51628718752294045</v>
      </c>
      <c r="W115" s="5">
        <f t="shared" si="13"/>
        <v>0.51935653214458155</v>
      </c>
      <c r="X115" s="5">
        <f t="shared" si="14"/>
        <v>-0.69747226971214271</v>
      </c>
      <c r="Y115" s="5">
        <f t="shared" si="15"/>
        <v>-0.42185917839582254</v>
      </c>
      <c r="Z115" s="5">
        <f t="shared" si="16"/>
        <v>6.1276667175582396E-2</v>
      </c>
      <c r="AA115" s="5">
        <f t="shared" si="17"/>
        <v>-0.75319245382337763</v>
      </c>
      <c r="AB115" s="5">
        <f t="shared" si="18"/>
        <v>0.13823661178955968</v>
      </c>
      <c r="AC115" s="5">
        <f t="shared" si="19"/>
        <v>-1.1613724201271292</v>
      </c>
      <c r="AD115" s="5">
        <f t="shared" si="20"/>
        <v>-1.234451406166619</v>
      </c>
      <c r="AE115" s="5">
        <f t="shared" si="21"/>
        <v>-0.9188379901345326</v>
      </c>
    </row>
    <row r="116" spans="1:31" ht="16" x14ac:dyDescent="0.2">
      <c r="A116" s="5" t="s">
        <v>140</v>
      </c>
      <c r="D116" s="3">
        <v>116</v>
      </c>
      <c r="E116" s="5" t="s">
        <v>20</v>
      </c>
      <c r="F116" s="9" t="s">
        <v>135</v>
      </c>
      <c r="G116" s="5">
        <v>47.545708135525203</v>
      </c>
      <c r="H116" s="5">
        <v>-2.9595141290388938</v>
      </c>
      <c r="I116" s="5">
        <v>91.251655161965999</v>
      </c>
      <c r="J116" s="5">
        <v>-43.705947026440803</v>
      </c>
      <c r="K116" s="5">
        <v>1.6855601210459501</v>
      </c>
      <c r="L116" s="5">
        <v>204.75446345538319</v>
      </c>
      <c r="M116" s="5">
        <v>-36.150265147868083</v>
      </c>
      <c r="N116" s="5">
        <v>29.607477948365499</v>
      </c>
      <c r="O116" s="5">
        <v>200</v>
      </c>
      <c r="P116" s="5">
        <v>3.2561765092282</v>
      </c>
      <c r="Q116" s="5">
        <v>-64.963192630202599</v>
      </c>
      <c r="R116" s="5">
        <v>18</v>
      </c>
      <c r="S116" s="5">
        <v>0.26134889753566798</v>
      </c>
      <c r="U116" s="3">
        <f t="shared" si="11"/>
        <v>0.29967846973385209</v>
      </c>
      <c r="V116" s="2">
        <f t="shared" si="12"/>
        <v>1.0497549094786496</v>
      </c>
      <c r="W116" s="5">
        <f t="shared" si="13"/>
        <v>0.38155170081803585</v>
      </c>
      <c r="X116" s="5">
        <f t="shared" si="14"/>
        <v>-0.19139165506093281</v>
      </c>
      <c r="Y116" s="5">
        <f t="shared" si="15"/>
        <v>-0.38604829925579937</v>
      </c>
      <c r="Z116" s="5">
        <f t="shared" si="16"/>
        <v>0.76431971023325163</v>
      </c>
      <c r="AA116" s="5">
        <f t="shared" si="17"/>
        <v>0.16684523877865257</v>
      </c>
      <c r="AB116" s="5">
        <f t="shared" si="18"/>
        <v>1.2698587754653303</v>
      </c>
      <c r="AC116" s="5">
        <f t="shared" si="19"/>
        <v>-0.83754326668741219</v>
      </c>
      <c r="AD116" s="5">
        <f t="shared" si="20"/>
        <v>-7.9889052671919536E-2</v>
      </c>
      <c r="AE116" s="5">
        <f t="shared" si="21"/>
        <v>0.95995638556223972</v>
      </c>
    </row>
    <row r="117" spans="1:31" ht="16" x14ac:dyDescent="0.2">
      <c r="A117" s="5" t="s">
        <v>141</v>
      </c>
      <c r="D117" s="3">
        <v>117</v>
      </c>
      <c r="E117" s="5" t="s">
        <v>20</v>
      </c>
      <c r="F117" s="9" t="s">
        <v>135</v>
      </c>
      <c r="G117" s="5">
        <v>39.785209042641497</v>
      </c>
      <c r="H117" s="5">
        <v>-19.203957910810097</v>
      </c>
      <c r="I117" s="5">
        <v>72.442303928582106</v>
      </c>
      <c r="J117" s="5">
        <v>-32.657094885940602</v>
      </c>
      <c r="K117" s="5">
        <v>2.2909995973015902</v>
      </c>
      <c r="L117" s="5">
        <v>107.97387432848399</v>
      </c>
      <c r="M117" s="5">
        <v>-34.895949892792842</v>
      </c>
      <c r="N117" s="5">
        <v>102.65610102152699</v>
      </c>
      <c r="O117" s="5">
        <v>159</v>
      </c>
      <c r="P117" s="5">
        <v>11.066832884689701</v>
      </c>
      <c r="Q117" s="5">
        <v>-72.038681443621499</v>
      </c>
      <c r="R117" s="5">
        <v>10</v>
      </c>
      <c r="S117" s="5">
        <v>0.53690036900368998</v>
      </c>
      <c r="U117" s="3">
        <f t="shared" si="11"/>
        <v>-0.42058748221683823</v>
      </c>
      <c r="V117" s="2">
        <f t="shared" si="12"/>
        <v>-2.0875430383268867</v>
      </c>
      <c r="W117" s="5">
        <f t="shared" si="13"/>
        <v>-1.1343002339405812</v>
      </c>
      <c r="X117" s="5">
        <f t="shared" si="14"/>
        <v>1.2131585438647996</v>
      </c>
      <c r="Y117" s="5">
        <f t="shared" si="15"/>
        <v>1.1085512357788527</v>
      </c>
      <c r="Z117" s="5">
        <f t="shared" si="16"/>
        <v>-0.9920341757557114</v>
      </c>
      <c r="AA117" s="5">
        <f t="shared" si="17"/>
        <v>0.29369651968766913</v>
      </c>
      <c r="AB117" s="5">
        <f t="shared" si="18"/>
        <v>0.68990241658149787</v>
      </c>
      <c r="AC117" s="5">
        <f t="shared" si="19"/>
        <v>0.53992818834897538</v>
      </c>
      <c r="AD117" s="5">
        <f t="shared" si="20"/>
        <v>-1.276060628486108</v>
      </c>
      <c r="AE117" s="5">
        <f t="shared" si="21"/>
        <v>-0.40643952403541289</v>
      </c>
    </row>
    <row r="118" spans="1:31" ht="16" x14ac:dyDescent="0.2">
      <c r="A118" s="5" t="s">
        <v>142</v>
      </c>
      <c r="D118" s="3">
        <v>118</v>
      </c>
      <c r="E118" s="5" t="s">
        <v>20</v>
      </c>
      <c r="F118" s="9" t="s">
        <v>135</v>
      </c>
      <c r="G118" s="5">
        <v>51.820559192899601</v>
      </c>
      <c r="H118" s="5">
        <v>-9.7663964851596035</v>
      </c>
      <c r="I118" s="5">
        <v>90.298031427371299</v>
      </c>
      <c r="J118" s="5">
        <v>-38.477472234471698</v>
      </c>
      <c r="K118" s="5">
        <v>2.12706173348827</v>
      </c>
      <c r="L118" s="5">
        <v>199.43829730812359</v>
      </c>
      <c r="M118" s="5">
        <v>-30.92899646326628</v>
      </c>
      <c r="N118" s="5">
        <v>65.057991874074204</v>
      </c>
      <c r="O118" s="5">
        <v>159</v>
      </c>
      <c r="P118" s="5">
        <v>6.6280269272221704</v>
      </c>
      <c r="Q118" s="5">
        <v>-70.680458425100397</v>
      </c>
      <c r="R118" s="5">
        <v>13</v>
      </c>
      <c r="S118" s="5">
        <v>0.41211493657779003</v>
      </c>
      <c r="U118" s="3">
        <f t="shared" si="11"/>
        <v>0.69643512538640195</v>
      </c>
      <c r="V118" s="2">
        <f t="shared" si="12"/>
        <v>-0.26486185017766428</v>
      </c>
      <c r="W118" s="5">
        <f t="shared" si="13"/>
        <v>0.3046988436843211</v>
      </c>
      <c r="X118" s="5">
        <f t="shared" si="14"/>
        <v>0.47326157911710409</v>
      </c>
      <c r="Y118" s="5">
        <f t="shared" si="15"/>
        <v>0.7038510722789344</v>
      </c>
      <c r="Z118" s="5">
        <f t="shared" si="16"/>
        <v>0.66784303907908504</v>
      </c>
      <c r="AA118" s="5">
        <f t="shared" si="17"/>
        <v>0.69488204446363544</v>
      </c>
      <c r="AB118" s="5">
        <f t="shared" si="18"/>
        <v>0.68990241658149787</v>
      </c>
      <c r="AC118" s="5">
        <f t="shared" si="19"/>
        <v>-0.24289059242163727</v>
      </c>
      <c r="AD118" s="5">
        <f t="shared" si="20"/>
        <v>-1.0464414726632265</v>
      </c>
      <c r="AE118" s="5">
        <f t="shared" si="21"/>
        <v>0.10595894206370683</v>
      </c>
    </row>
    <row r="119" spans="1:31" ht="16" x14ac:dyDescent="0.2">
      <c r="A119" s="5" t="s">
        <v>143</v>
      </c>
      <c r="D119" s="5">
        <v>119</v>
      </c>
      <c r="E119" s="5" t="s">
        <v>20</v>
      </c>
      <c r="F119" s="9" t="s">
        <v>135</v>
      </c>
      <c r="G119" s="5">
        <v>48.696629583530402</v>
      </c>
      <c r="H119" s="5">
        <v>-6.4780477758720991</v>
      </c>
      <c r="I119" s="5">
        <v>94.145401588614206</v>
      </c>
      <c r="J119" s="5">
        <v>-45.448772005083804</v>
      </c>
      <c r="K119" s="5">
        <v>2.1407568291308698</v>
      </c>
      <c r="L119" s="5">
        <v>166.4373810978492</v>
      </c>
      <c r="M119" s="5">
        <v>-36.007410482870242</v>
      </c>
      <c r="N119" s="5">
        <v>75.642214659032305</v>
      </c>
      <c r="O119" s="5">
        <v>140</v>
      </c>
      <c r="P119" s="5">
        <v>3.8449727754084102</v>
      </c>
      <c r="Q119" s="5">
        <v>-70.004048575792595</v>
      </c>
      <c r="R119" s="5">
        <v>14</v>
      </c>
      <c r="S119" s="5">
        <v>0.203048102873472</v>
      </c>
      <c r="U119" s="3">
        <f t="shared" si="11"/>
        <v>0.40649757021259425</v>
      </c>
      <c r="V119" s="2">
        <f t="shared" si="12"/>
        <v>0.37021866079024129</v>
      </c>
      <c r="W119" s="5">
        <f t="shared" si="13"/>
        <v>0.61475969747398262</v>
      </c>
      <c r="X119" s="5">
        <f t="shared" si="14"/>
        <v>-0.4129427392204264</v>
      </c>
      <c r="Y119" s="5">
        <f t="shared" si="15"/>
        <v>0.73765904876945676</v>
      </c>
      <c r="Z119" s="5">
        <f t="shared" si="16"/>
        <v>6.8949315141194276E-2</v>
      </c>
      <c r="AA119" s="5">
        <f t="shared" si="17"/>
        <v>0.18129240201411653</v>
      </c>
      <c r="AB119" s="5">
        <f t="shared" si="18"/>
        <v>0.4211421527085023</v>
      </c>
      <c r="AC119" s="5">
        <f t="shared" si="19"/>
        <v>-0.73370435603666373</v>
      </c>
      <c r="AD119" s="5">
        <f t="shared" si="20"/>
        <v>-0.93208863335009484</v>
      </c>
      <c r="AE119" s="5">
        <f t="shared" si="21"/>
        <v>0.27675843076341339</v>
      </c>
    </row>
    <row r="120" spans="1:31" ht="16" x14ac:dyDescent="0.2">
      <c r="A120" s="5" t="s">
        <v>144</v>
      </c>
      <c r="D120" s="3">
        <v>120</v>
      </c>
      <c r="E120" s="5" t="s">
        <v>20</v>
      </c>
      <c r="F120" s="9" t="s">
        <v>135</v>
      </c>
      <c r="G120" s="5">
        <v>49.683133676238597</v>
      </c>
      <c r="H120" s="5">
        <v>-6.9384166902853934</v>
      </c>
      <c r="I120" s="5">
        <v>95.559391057139393</v>
      </c>
      <c r="J120" s="5">
        <v>-45.876257380900803</v>
      </c>
      <c r="K120" s="5">
        <v>1.87742994131269</v>
      </c>
      <c r="L120" s="5">
        <v>198.72582411757401</v>
      </c>
      <c r="M120" s="5">
        <v>-42.066939052862004</v>
      </c>
      <c r="N120" s="5">
        <v>132.88790372575599</v>
      </c>
      <c r="O120" s="5">
        <v>39</v>
      </c>
      <c r="P120" s="5">
        <v>10.6067835869009</v>
      </c>
      <c r="Q120" s="5">
        <v>-61.929064864891998</v>
      </c>
      <c r="R120" s="5">
        <v>16</v>
      </c>
      <c r="S120" s="5">
        <v>0.15711252653927801</v>
      </c>
      <c r="U120" s="3">
        <f t="shared" si="11"/>
        <v>0.49805679867629993</v>
      </c>
      <c r="V120" s="2">
        <f t="shared" si="12"/>
        <v>0.28130737088550251</v>
      </c>
      <c r="W120" s="5">
        <f t="shared" si="13"/>
        <v>0.72871358376156437</v>
      </c>
      <c r="X120" s="5">
        <f t="shared" si="14"/>
        <v>-0.46728545844650032</v>
      </c>
      <c r="Y120" s="5">
        <f t="shared" si="15"/>
        <v>8.7605229138782797E-2</v>
      </c>
      <c r="Z120" s="5">
        <f t="shared" si="16"/>
        <v>0.65491322465892332</v>
      </c>
      <c r="AA120" s="5">
        <f t="shared" si="17"/>
        <v>-0.4315192158770555</v>
      </c>
      <c r="AB120" s="5">
        <f t="shared" si="18"/>
        <v>-1.0075308289321581</v>
      </c>
      <c r="AC120" s="5">
        <f t="shared" si="19"/>
        <v>0.4587948309010022</v>
      </c>
      <c r="AD120" s="5">
        <f t="shared" si="20"/>
        <v>0.43305605768851296</v>
      </c>
      <c r="AE120" s="5">
        <f t="shared" si="21"/>
        <v>0.61835740816282658</v>
      </c>
    </row>
    <row r="121" spans="1:31" ht="16" x14ac:dyDescent="0.2">
      <c r="A121" s="5" t="s">
        <v>145</v>
      </c>
      <c r="D121" s="3">
        <v>121</v>
      </c>
      <c r="E121" s="5" t="s">
        <v>20</v>
      </c>
      <c r="F121" s="9" t="s">
        <v>135</v>
      </c>
      <c r="G121" s="5">
        <v>47.348407315160003</v>
      </c>
      <c r="H121" s="5">
        <v>-3.4527665790917013</v>
      </c>
      <c r="I121" s="5">
        <v>94.244052905831794</v>
      </c>
      <c r="J121" s="5">
        <v>-46.895645590671798</v>
      </c>
      <c r="K121" s="5">
        <v>2.0371609527836201</v>
      </c>
      <c r="L121" s="5">
        <v>176.66016925713362</v>
      </c>
      <c r="M121" s="5">
        <v>-37.221978032066758</v>
      </c>
      <c r="N121" s="5">
        <v>193.473557181963</v>
      </c>
      <c r="O121" s="5">
        <v>39</v>
      </c>
      <c r="P121" s="5">
        <v>11.511498799599799</v>
      </c>
      <c r="Q121" s="5">
        <v>-65.732503416227303</v>
      </c>
      <c r="R121" s="5">
        <v>19</v>
      </c>
      <c r="S121" s="5">
        <v>0.81749049429658105</v>
      </c>
      <c r="U121" s="3">
        <f t="shared" si="11"/>
        <v>0.28136662387186295</v>
      </c>
      <c r="V121" s="2">
        <f t="shared" si="12"/>
        <v>0.95449280508839407</v>
      </c>
      <c r="W121" s="5">
        <f t="shared" si="13"/>
        <v>0.62271004026971677</v>
      </c>
      <c r="X121" s="5">
        <f t="shared" si="14"/>
        <v>-0.59687194350480954</v>
      </c>
      <c r="Y121" s="5">
        <f t="shared" si="15"/>
        <v>0.4819202760391339</v>
      </c>
      <c r="Z121" s="5">
        <f t="shared" si="16"/>
        <v>0.25447033615563219</v>
      </c>
      <c r="AA121" s="5">
        <f t="shared" si="17"/>
        <v>5.8460881993369324E-2</v>
      </c>
      <c r="AB121" s="5">
        <f t="shared" si="18"/>
        <v>-1.0075308289321581</v>
      </c>
      <c r="AC121" s="5">
        <f t="shared" si="19"/>
        <v>0.6183485637146896</v>
      </c>
      <c r="AD121" s="5">
        <f t="shared" si="20"/>
        <v>-0.20994758565479693</v>
      </c>
      <c r="AE121" s="5">
        <f t="shared" si="21"/>
        <v>1.1307558742619463</v>
      </c>
    </row>
    <row r="122" spans="1:31" ht="16" x14ac:dyDescent="0.2">
      <c r="A122" s="5" t="s">
        <v>146</v>
      </c>
      <c r="D122" s="3">
        <v>122</v>
      </c>
      <c r="E122" s="5" t="s">
        <v>20</v>
      </c>
      <c r="F122" s="9" t="s">
        <v>135</v>
      </c>
      <c r="G122" s="5">
        <v>44.356011514050799</v>
      </c>
      <c r="H122" s="5">
        <v>-0.98650475435279361</v>
      </c>
      <c r="I122" s="5">
        <v>94.671540192129996</v>
      </c>
      <c r="J122" s="5">
        <v>-50.315528678079303</v>
      </c>
      <c r="K122" s="5">
        <v>1.93885061021484</v>
      </c>
      <c r="L122" s="5">
        <v>173.48385535260402</v>
      </c>
      <c r="M122" s="5">
        <v>-40.517148213901997</v>
      </c>
      <c r="N122" s="5">
        <v>127.463782381066</v>
      </c>
      <c r="O122" s="5">
        <v>39</v>
      </c>
      <c r="P122" s="5">
        <v>4.8206878317620898</v>
      </c>
      <c r="Q122" s="5">
        <v>-68.995448616764094</v>
      </c>
      <c r="R122" s="5">
        <v>17</v>
      </c>
      <c r="S122" s="5">
        <v>0.77139208173690899</v>
      </c>
      <c r="U122" s="3">
        <f t="shared" si="11"/>
        <v>3.6369592584651481E-3</v>
      </c>
      <c r="V122" s="2">
        <f t="shared" si="12"/>
        <v>1.4308032448577803</v>
      </c>
      <c r="W122" s="5">
        <f t="shared" si="13"/>
        <v>0.65716138428363047</v>
      </c>
      <c r="X122" s="5">
        <f t="shared" si="14"/>
        <v>-1.0316137075939342</v>
      </c>
      <c r="Y122" s="5">
        <f t="shared" si="15"/>
        <v>0.23922947364693137</v>
      </c>
      <c r="Z122" s="5">
        <f t="shared" si="16"/>
        <v>0.19682725586784366</v>
      </c>
      <c r="AA122" s="5">
        <f t="shared" si="17"/>
        <v>-0.27478592871684826</v>
      </c>
      <c r="AB122" s="5">
        <f t="shared" si="18"/>
        <v>-1.0075308289321581</v>
      </c>
      <c r="AC122" s="5">
        <f t="shared" si="19"/>
        <v>-0.56162923535936959</v>
      </c>
      <c r="AD122" s="5">
        <f t="shared" si="20"/>
        <v>-0.76157623001350006</v>
      </c>
      <c r="AE122" s="5">
        <f t="shared" si="21"/>
        <v>0.7891568968625331</v>
      </c>
    </row>
    <row r="123" spans="1:31" ht="16" x14ac:dyDescent="0.2">
      <c r="A123" s="5" t="s">
        <v>147</v>
      </c>
      <c r="D123" s="5">
        <v>123</v>
      </c>
      <c r="E123" s="5" t="s">
        <v>20</v>
      </c>
      <c r="F123" s="9" t="s">
        <v>135</v>
      </c>
      <c r="G123" s="5">
        <v>52.807063269477098</v>
      </c>
      <c r="H123" s="5">
        <v>-6.2149799418985978</v>
      </c>
      <c r="I123" s="5">
        <v>100.294611695453</v>
      </c>
      <c r="J123" s="5">
        <v>-47.487548425975902</v>
      </c>
      <c r="K123" s="5">
        <v>1.87746506776276</v>
      </c>
      <c r="L123" s="5">
        <v>232.0975692093956</v>
      </c>
      <c r="M123" s="5">
        <v>-39.600334747485483</v>
      </c>
      <c r="N123" s="5">
        <v>58.7116554885284</v>
      </c>
      <c r="O123" s="5">
        <v>79</v>
      </c>
      <c r="P123" s="5">
        <v>2.54709204510793</v>
      </c>
      <c r="Q123" s="5">
        <v>-68.832176348489597</v>
      </c>
      <c r="R123" s="5">
        <v>17</v>
      </c>
      <c r="S123" s="5">
        <v>0.489723827874117</v>
      </c>
      <c r="U123" s="3">
        <f t="shared" si="11"/>
        <v>0.78799435235298831</v>
      </c>
      <c r="V123" s="2">
        <f t="shared" si="12"/>
        <v>0.42102508954496742</v>
      </c>
      <c r="W123" s="5">
        <f t="shared" si="13"/>
        <v>1.1103266057650498</v>
      </c>
      <c r="X123" s="5">
        <f t="shared" si="14"/>
        <v>-0.67211570950867316</v>
      </c>
      <c r="Y123" s="5">
        <f t="shared" si="15"/>
        <v>8.7691942968985429E-2</v>
      </c>
      <c r="Z123" s="5">
        <f t="shared" si="16"/>
        <v>1.2605366735656129</v>
      </c>
      <c r="AA123" s="5">
        <f t="shared" si="17"/>
        <v>-0.18206684386238389</v>
      </c>
      <c r="AB123" s="5">
        <f t="shared" si="18"/>
        <v>-0.44171974709427275</v>
      </c>
      <c r="AC123" s="5">
        <f t="shared" si="19"/>
        <v>-0.96259595900710648</v>
      </c>
      <c r="AD123" s="5">
        <f t="shared" si="20"/>
        <v>-0.73397366408784048</v>
      </c>
      <c r="AE123" s="5">
        <f t="shared" si="21"/>
        <v>0.7891568968625331</v>
      </c>
    </row>
    <row r="124" spans="1:31" ht="16" x14ac:dyDescent="0.2">
      <c r="A124" s="5" t="s">
        <v>148</v>
      </c>
      <c r="D124" s="3">
        <v>124</v>
      </c>
      <c r="E124" s="5" t="s">
        <v>20</v>
      </c>
      <c r="F124" s="9" t="s">
        <v>135</v>
      </c>
      <c r="G124" s="5">
        <v>16.466809775802201</v>
      </c>
      <c r="H124" s="5">
        <v>-2.4004949938817006</v>
      </c>
      <c r="I124" s="5">
        <v>71.291393063243603</v>
      </c>
      <c r="J124" s="5">
        <v>-54.824583287441399</v>
      </c>
      <c r="K124" s="5">
        <v>2.1724945152722199</v>
      </c>
      <c r="L124" s="5">
        <v>74.700321260145998</v>
      </c>
      <c r="M124" s="5">
        <v>-19.16957851684128</v>
      </c>
      <c r="N124" s="5">
        <v>87.775082065399104</v>
      </c>
      <c r="O124" s="5">
        <v>90</v>
      </c>
      <c r="P124" s="5">
        <v>17.2476459886866</v>
      </c>
      <c r="Q124" s="5">
        <v>-64.110581548794201</v>
      </c>
      <c r="R124" s="5">
        <v>9</v>
      </c>
      <c r="S124" s="5">
        <v>8.2344236760124598</v>
      </c>
      <c r="U124" s="3">
        <f t="shared" si="11"/>
        <v>-2.5848102783121991</v>
      </c>
      <c r="V124" s="2">
        <f t="shared" si="12"/>
        <v>1.1577185682578277</v>
      </c>
      <c r="W124" s="5">
        <f t="shared" si="13"/>
        <v>-1.2270525272180681</v>
      </c>
      <c r="X124" s="5">
        <f t="shared" si="14"/>
        <v>-1.6048129384291301</v>
      </c>
      <c r="Y124" s="5">
        <f t="shared" si="15"/>
        <v>0.81600731116440606</v>
      </c>
      <c r="Z124" s="5">
        <f t="shared" si="16"/>
        <v>-1.595875656360964</v>
      </c>
      <c r="AA124" s="5">
        <f t="shared" si="17"/>
        <v>1.884134286444068</v>
      </c>
      <c r="AB124" s="5">
        <f t="shared" si="18"/>
        <v>-0.28612169958885431</v>
      </c>
      <c r="AC124" s="5">
        <f t="shared" si="19"/>
        <v>1.6299638025668044</v>
      </c>
      <c r="AD124" s="5">
        <f t="shared" si="20"/>
        <v>6.4252103889688869E-2</v>
      </c>
      <c r="AE124" s="5">
        <f t="shared" si="21"/>
        <v>-0.57723901273511946</v>
      </c>
    </row>
    <row r="125" spans="1:31" ht="16" x14ac:dyDescent="0.2">
      <c r="A125" s="5" t="s">
        <v>149</v>
      </c>
      <c r="D125" s="3">
        <v>125</v>
      </c>
      <c r="E125" s="5" t="s">
        <v>20</v>
      </c>
      <c r="F125" s="9" t="s">
        <v>135</v>
      </c>
      <c r="G125" s="5">
        <v>17.8519322135962</v>
      </c>
      <c r="H125" s="5">
        <v>-10.720018597324795</v>
      </c>
      <c r="I125" s="5">
        <v>66.325985371341801</v>
      </c>
      <c r="J125" s="5">
        <v>-48.474053157745601</v>
      </c>
      <c r="K125" s="5">
        <v>2.0407984783442301</v>
      </c>
      <c r="L125" s="5">
        <v>74.745591031363602</v>
      </c>
      <c r="M125" s="5">
        <v>-31.96274807721208</v>
      </c>
      <c r="N125" s="5">
        <v>36.632887794045601</v>
      </c>
      <c r="O125" s="5">
        <v>39</v>
      </c>
      <c r="P125" s="5">
        <v>11.0266876134743</v>
      </c>
      <c r="Q125" s="5">
        <v>-59.544796041828398</v>
      </c>
      <c r="R125" s="5">
        <v>19</v>
      </c>
      <c r="S125" s="5">
        <v>0.21080858085808599</v>
      </c>
      <c r="U125" s="3">
        <f t="shared" si="11"/>
        <v>-2.4562545605310069</v>
      </c>
      <c r="V125" s="2">
        <f t="shared" si="12"/>
        <v>-0.44903538887617611</v>
      </c>
      <c r="W125" s="5">
        <f t="shared" si="13"/>
        <v>-1.6272164011998371</v>
      </c>
      <c r="X125" s="5">
        <f t="shared" si="14"/>
        <v>-0.79752198697792509</v>
      </c>
      <c r="Y125" s="5">
        <f t="shared" si="15"/>
        <v>0.49089994159577638</v>
      </c>
      <c r="Z125" s="5">
        <f t="shared" si="16"/>
        <v>-1.595054110022869</v>
      </c>
      <c r="AA125" s="5">
        <f t="shared" si="17"/>
        <v>0.59033678294329961</v>
      </c>
      <c r="AB125" s="5">
        <f t="shared" si="18"/>
        <v>-1.0075308289321581</v>
      </c>
      <c r="AC125" s="5">
        <f t="shared" si="19"/>
        <v>0.53284825005753544</v>
      </c>
      <c r="AD125" s="5">
        <f t="shared" si="20"/>
        <v>0.83613698544571957</v>
      </c>
      <c r="AE125" s="5">
        <f t="shared" si="21"/>
        <v>1.1307558742619463</v>
      </c>
    </row>
    <row r="126" spans="1:31" ht="16" x14ac:dyDescent="0.2">
      <c r="A126" s="5" t="s">
        <v>150</v>
      </c>
      <c r="D126" s="3">
        <v>126</v>
      </c>
      <c r="E126" s="5" t="s">
        <v>58</v>
      </c>
      <c r="F126" s="9" t="s">
        <v>135</v>
      </c>
      <c r="G126" s="5">
        <v>16.359639074882999</v>
      </c>
      <c r="H126" s="5">
        <v>-7.3659017517471952</v>
      </c>
      <c r="I126" s="5">
        <v>63.4980027049547</v>
      </c>
      <c r="J126" s="5">
        <v>-47.138363630071602</v>
      </c>
      <c r="K126" s="5">
        <v>1.99411164422387</v>
      </c>
      <c r="L126" s="5">
        <v>62.680978143736795</v>
      </c>
      <c r="M126" s="5">
        <v>-22.621902557342079</v>
      </c>
      <c r="N126" s="5">
        <v>159.10922925782199</v>
      </c>
      <c r="O126" s="5">
        <v>19</v>
      </c>
      <c r="P126" s="5">
        <v>22.953952273342502</v>
      </c>
      <c r="Q126" s="5">
        <v>-69.485774481455607</v>
      </c>
      <c r="R126" s="5">
        <v>14</v>
      </c>
      <c r="S126" s="5">
        <v>1.1046040515653801</v>
      </c>
      <c r="U126" s="3">
        <f t="shared" si="11"/>
        <v>-2.5947569848313163</v>
      </c>
      <c r="V126" s="2">
        <f t="shared" si="12"/>
        <v>0.19874695674890944</v>
      </c>
      <c r="W126" s="5">
        <f t="shared" si="13"/>
        <v>-1.8551244743235002</v>
      </c>
      <c r="X126" s="5">
        <f t="shared" si="14"/>
        <v>-0.62772670255007135</v>
      </c>
      <c r="Y126" s="5">
        <f t="shared" si="15"/>
        <v>0.37564792499442223</v>
      </c>
      <c r="Z126" s="5">
        <f t="shared" si="16"/>
        <v>-1.8140001809168143</v>
      </c>
      <c r="AA126" s="5">
        <f t="shared" si="17"/>
        <v>1.5349942079203096</v>
      </c>
      <c r="AB126" s="5">
        <f t="shared" si="18"/>
        <v>-1.2904363698511008</v>
      </c>
      <c r="AC126" s="5">
        <f t="shared" si="19"/>
        <v>2.6363163602727906</v>
      </c>
      <c r="AD126" s="5">
        <f t="shared" si="20"/>
        <v>-0.84446998869179224</v>
      </c>
      <c r="AE126" s="5">
        <f t="shared" si="21"/>
        <v>0.27675843076341339</v>
      </c>
    </row>
    <row r="127" spans="1:31" ht="16" x14ac:dyDescent="0.2">
      <c r="A127" s="5" t="s">
        <v>151</v>
      </c>
      <c r="D127" s="5">
        <v>127</v>
      </c>
      <c r="E127" s="5" t="s">
        <v>58</v>
      </c>
      <c r="F127" s="9" t="s">
        <v>135</v>
      </c>
      <c r="G127" s="5">
        <v>12.651182497580001</v>
      </c>
      <c r="H127" s="5">
        <v>-8.0893385585059008</v>
      </c>
      <c r="I127" s="5">
        <v>56.987074641375798</v>
      </c>
      <c r="J127" s="5">
        <v>-44.335892143795697</v>
      </c>
      <c r="K127" s="5">
        <v>2.4471262649055898</v>
      </c>
      <c r="L127" s="5">
        <v>66.185483522352797</v>
      </c>
      <c r="M127" s="5">
        <v>-20.806276903873599</v>
      </c>
      <c r="N127" s="5">
        <v>228.59432592061501</v>
      </c>
      <c r="O127" s="5">
        <v>120</v>
      </c>
      <c r="P127" s="5">
        <v>13.0633495402815</v>
      </c>
      <c r="Q127" s="5">
        <v>-70.888647618048907</v>
      </c>
      <c r="R127" s="5">
        <v>17</v>
      </c>
      <c r="S127" s="5">
        <v>1.47339805825243</v>
      </c>
      <c r="U127" s="3">
        <f t="shared" si="11"/>
        <v>-2.9389455447357031</v>
      </c>
      <c r="V127" s="2">
        <f t="shared" si="12"/>
        <v>5.9029226816046873E-2</v>
      </c>
      <c r="W127" s="5">
        <f t="shared" si="13"/>
        <v>-2.3798423542646825</v>
      </c>
      <c r="X127" s="5">
        <f t="shared" si="14"/>
        <v>-0.27147142521641004</v>
      </c>
      <c r="Y127" s="5">
        <f t="shared" si="15"/>
        <v>1.4939685300897367</v>
      </c>
      <c r="Z127" s="5">
        <f t="shared" si="16"/>
        <v>-1.750401150411526</v>
      </c>
      <c r="AA127" s="5">
        <f t="shared" si="17"/>
        <v>1.7186118741025895</v>
      </c>
      <c r="AB127" s="5">
        <f t="shared" si="18"/>
        <v>0.13823661178955968</v>
      </c>
      <c r="AC127" s="5">
        <f t="shared" si="19"/>
        <v>0.89202980060559223</v>
      </c>
      <c r="AD127" s="5">
        <f t="shared" si="20"/>
        <v>-1.081637626817892</v>
      </c>
      <c r="AE127" s="5">
        <f t="shared" si="21"/>
        <v>0.7891568968625331</v>
      </c>
    </row>
    <row r="128" spans="1:31" ht="16" x14ac:dyDescent="0.2">
      <c r="A128" s="5" t="s">
        <v>152</v>
      </c>
      <c r="D128" s="3">
        <v>128</v>
      </c>
      <c r="E128" s="5" t="s">
        <v>58</v>
      </c>
      <c r="F128" s="9" t="s">
        <v>135</v>
      </c>
      <c r="G128" s="5">
        <v>34.188750923006197</v>
      </c>
      <c r="H128" s="5">
        <v>-4.3406208083888984</v>
      </c>
      <c r="I128" s="5">
        <v>82.175818196967697</v>
      </c>
      <c r="J128" s="5">
        <v>-47.9870672739615</v>
      </c>
      <c r="K128" s="5">
        <v>1.8141134496459801</v>
      </c>
      <c r="L128" s="5">
        <v>137.803707607642</v>
      </c>
      <c r="M128" s="5">
        <v>-36.963469386023441</v>
      </c>
      <c r="N128" s="5">
        <v>139.754474919221</v>
      </c>
      <c r="O128" s="5">
        <v>60</v>
      </c>
      <c r="P128" s="5">
        <v>5.9475081530374299</v>
      </c>
      <c r="Q128" s="5">
        <v>-64.894028289620096</v>
      </c>
      <c r="R128" s="5">
        <v>16</v>
      </c>
      <c r="S128" s="5">
        <v>0.46089630931458803</v>
      </c>
      <c r="U128" s="3">
        <f t="shared" si="11"/>
        <v>-0.94000487881026318</v>
      </c>
      <c r="V128" s="2">
        <f t="shared" si="12"/>
        <v>0.78302105210351902</v>
      </c>
      <c r="W128" s="5">
        <f t="shared" si="13"/>
        <v>-0.34987304915040779</v>
      </c>
      <c r="X128" s="5">
        <f t="shared" si="14"/>
        <v>-0.7356154548562982</v>
      </c>
      <c r="Y128" s="5">
        <f t="shared" si="15"/>
        <v>-6.8699079906854088E-2</v>
      </c>
      <c r="Z128" s="5">
        <f t="shared" si="16"/>
        <v>-0.45068860149437129</v>
      </c>
      <c r="AA128" s="5">
        <f t="shared" si="17"/>
        <v>8.4604351702412567E-2</v>
      </c>
      <c r="AB128" s="5">
        <f t="shared" si="18"/>
        <v>-0.71048001096726832</v>
      </c>
      <c r="AC128" s="5">
        <f t="shared" si="19"/>
        <v>-0.36290549782713161</v>
      </c>
      <c r="AD128" s="5">
        <f t="shared" si="20"/>
        <v>-6.8196232508340532E-2</v>
      </c>
      <c r="AE128" s="5">
        <f t="shared" si="21"/>
        <v>0.61835740816282658</v>
      </c>
    </row>
    <row r="129" spans="1:31" ht="16" x14ac:dyDescent="0.2">
      <c r="A129" s="5" t="s">
        <v>153</v>
      </c>
      <c r="D129" s="3">
        <v>129</v>
      </c>
      <c r="E129" s="5" t="s">
        <v>58</v>
      </c>
      <c r="F129" s="9" t="s">
        <v>135</v>
      </c>
      <c r="G129" s="5">
        <v>15.6069368273679</v>
      </c>
      <c r="H129" s="5">
        <v>-3.7158345385795997</v>
      </c>
      <c r="I129" s="5">
        <v>64.352976487445403</v>
      </c>
      <c r="J129" s="5">
        <v>-48.7460396600774</v>
      </c>
      <c r="K129" s="5">
        <v>2.3692602650947601</v>
      </c>
      <c r="L129" s="5">
        <v>70.141901719900005</v>
      </c>
      <c r="M129" s="5">
        <v>-18.49304545775508</v>
      </c>
      <c r="N129" s="5">
        <v>34.818487206977103</v>
      </c>
      <c r="O129" s="5">
        <v>39</v>
      </c>
      <c r="P129" s="5">
        <v>14.761389385927</v>
      </c>
      <c r="Q129" s="5">
        <v>-66.732770218801804</v>
      </c>
      <c r="R129" s="5">
        <v>7</v>
      </c>
      <c r="S129" s="5">
        <v>0.31070070613796902</v>
      </c>
      <c r="U129" s="3">
        <f t="shared" si="11"/>
        <v>-2.664616641324161</v>
      </c>
      <c r="V129" s="2">
        <f t="shared" si="12"/>
        <v>0.90368635209300663</v>
      </c>
      <c r="W129" s="5">
        <f t="shared" si="13"/>
        <v>-1.7862218499705569</v>
      </c>
      <c r="X129" s="5">
        <f t="shared" si="14"/>
        <v>-0.8320974063153721</v>
      </c>
      <c r="Y129" s="5">
        <f t="shared" si="15"/>
        <v>1.3017470254200696</v>
      </c>
      <c r="Z129" s="5">
        <f t="shared" si="16"/>
        <v>-1.6786009006037046</v>
      </c>
      <c r="AA129" s="5">
        <f t="shared" si="17"/>
        <v>1.9525533579455399</v>
      </c>
      <c r="AB129" s="5">
        <f t="shared" si="18"/>
        <v>-1.0075308289321581</v>
      </c>
      <c r="AC129" s="5">
        <f t="shared" si="19"/>
        <v>1.191492650391103</v>
      </c>
      <c r="AD129" s="5">
        <f t="shared" si="20"/>
        <v>-0.37905119800183029</v>
      </c>
      <c r="AE129" s="5">
        <f t="shared" si="21"/>
        <v>-0.9188379901345326</v>
      </c>
    </row>
    <row r="130" spans="1:31" ht="16" x14ac:dyDescent="0.2">
      <c r="A130" s="5" t="s">
        <v>155</v>
      </c>
      <c r="D130" s="5">
        <v>131</v>
      </c>
      <c r="E130" s="5" t="s">
        <v>58</v>
      </c>
      <c r="F130" s="9" t="s">
        <v>135</v>
      </c>
      <c r="G130" s="5">
        <v>42.5803040927076</v>
      </c>
      <c r="H130" s="5">
        <v>-0.26306792882009944</v>
      </c>
      <c r="I130" s="5">
        <v>90.593988374651801</v>
      </c>
      <c r="J130" s="5">
        <v>-48.013684281944201</v>
      </c>
      <c r="K130" s="5">
        <v>1.7984031633137301</v>
      </c>
      <c r="L130" s="5">
        <v>212.42727988282559</v>
      </c>
      <c r="M130" s="5">
        <v>-33.561386410942397</v>
      </c>
      <c r="N130" s="5">
        <v>182.31037692957</v>
      </c>
      <c r="O130" s="5">
        <v>19</v>
      </c>
      <c r="P130" s="5">
        <v>3.98592361015855</v>
      </c>
      <c r="Q130" s="5">
        <v>-64.775562837800393</v>
      </c>
      <c r="R130" s="5">
        <v>29</v>
      </c>
      <c r="S130" s="5">
        <v>0.224759615384614</v>
      </c>
      <c r="U130" s="3">
        <f t="shared" si="11"/>
        <v>-0.16116965703152028</v>
      </c>
      <c r="V130" s="2">
        <f t="shared" si="12"/>
        <v>1.5705209784164731</v>
      </c>
      <c r="W130" s="5">
        <f t="shared" si="13"/>
        <v>0.32855011349016927</v>
      </c>
      <c r="X130" s="5">
        <f t="shared" si="14"/>
        <v>-0.73899905736826166</v>
      </c>
      <c r="Y130" s="5">
        <f t="shared" si="15"/>
        <v>-0.10748179489045341</v>
      </c>
      <c r="Z130" s="5">
        <f t="shared" si="16"/>
        <v>0.90356437768560993</v>
      </c>
      <c r="AA130" s="5">
        <f t="shared" si="17"/>
        <v>0.42866345598389638</v>
      </c>
      <c r="AB130" s="5">
        <f t="shared" si="18"/>
        <v>-1.2904363698511008</v>
      </c>
      <c r="AC130" s="5">
        <f t="shared" si="19"/>
        <v>-0.7088465538112525</v>
      </c>
      <c r="AD130" s="5">
        <f t="shared" si="20"/>
        <v>-4.8168640080526258E-2</v>
      </c>
      <c r="AE130" s="5">
        <f t="shared" si="21"/>
        <v>2.8387507612590119</v>
      </c>
    </row>
    <row r="131" spans="1:31" ht="16" x14ac:dyDescent="0.2">
      <c r="A131" s="5" t="s">
        <v>156</v>
      </c>
      <c r="D131" s="3">
        <v>132</v>
      </c>
      <c r="E131" s="5" t="s">
        <v>58</v>
      </c>
      <c r="F131" s="9" t="s">
        <v>135</v>
      </c>
      <c r="G131" s="5">
        <v>31.4950436730281</v>
      </c>
      <c r="H131" s="5">
        <v>-5.8532613901412986</v>
      </c>
      <c r="I131" s="5">
        <v>77.539248146476993</v>
      </c>
      <c r="J131" s="5">
        <v>-46.0442044734489</v>
      </c>
      <c r="K131" s="5">
        <v>1.9158402259981999</v>
      </c>
      <c r="L131" s="5">
        <v>137.78178594175279</v>
      </c>
      <c r="M131" s="5">
        <v>-37.960691481487643</v>
      </c>
      <c r="N131" s="5">
        <v>78.949849597942205</v>
      </c>
      <c r="O131" s="5">
        <v>39</v>
      </c>
      <c r="P131" s="5">
        <v>5.6828902805528498</v>
      </c>
      <c r="Q131" s="5">
        <v>-67.403205237247704</v>
      </c>
      <c r="R131" s="5">
        <v>19</v>
      </c>
      <c r="S131" s="5">
        <v>0.23702359346642499</v>
      </c>
      <c r="U131" s="3">
        <f t="shared" ref="U131:U163" si="22">(G131- AVERAGE($G$2:$G$163))/_xlfn.STDEV.S($G$2:$G$163)</f>
        <v>-1.1900127189582093</v>
      </c>
      <c r="V131" s="2">
        <f t="shared" ref="V131:V163" si="23">(H131- AVERAGE($H$2:$H$163))/_xlfn.STDEV.S($H$2:$H$163)</f>
        <v>0.49088398316770931</v>
      </c>
      <c r="W131" s="5">
        <f t="shared" ref="W131:W163" si="24">(I131- AVERAGE($I$2:$I$163))/_xlfn.STDEV.S($I$2:$I$163)</f>
        <v>-0.72353578714032185</v>
      </c>
      <c r="X131" s="5">
        <f t="shared" ref="X131:X163" si="25">(J131- AVERAGE($J$2:$J$163))/_xlfn.STDEV.S($J$2:$J$163)</f>
        <v>-0.48863519860482496</v>
      </c>
      <c r="Y131" s="5">
        <f t="shared" ref="Y131:Y163" si="26">(K131- AVERAGE($K$2:$K$163))/_xlfn.STDEV.S($K$2:$K$163)</f>
        <v>0.18242559662878077</v>
      </c>
      <c r="Z131" s="5">
        <f t="shared" ref="Z131:Z163" si="27">(L131- AVERAGE($L$2:$L$163))/_xlfn.STDEV.S($L$2:$L$163)</f>
        <v>-0.45108643130114567</v>
      </c>
      <c r="AA131" s="5">
        <f t="shared" ref="AA131:AA163" si="28">(M131- AVERAGE($M$2:$M$163))/_xlfn.STDEV.S($M$2:$M$163)</f>
        <v>-1.6246610325327097E-2</v>
      </c>
      <c r="AB131" s="5">
        <f t="shared" ref="AB131:AB163" si="29">(O131- AVERAGE($O$2:$O$163))/_xlfn.STDEV.S($O$2:$O$163)</f>
        <v>-1.0075308289321581</v>
      </c>
      <c r="AC131" s="5">
        <f t="shared" ref="AC131:AC163" si="30">(P131- AVERAGE($P$2:$P$163))/_xlfn.STDEV.S($P$2:$P$163)</f>
        <v>-0.4095729670279426</v>
      </c>
      <c r="AD131" s="5">
        <f t="shared" ref="AD131:AD163" si="31">(Q131- AVERAGE($Q$2:$Q$163))/_xlfn.STDEV.S($Q$2:$Q$163)</f>
        <v>-0.49239394132926118</v>
      </c>
      <c r="AE131" s="5">
        <f t="shared" ref="AE131:AE163" si="32">(R131- AVERAGE($R$2:$R$163))/_xlfn.STDEV.S($R$2:$R$163)</f>
        <v>1.1307558742619463</v>
      </c>
    </row>
    <row r="132" spans="1:31" ht="16" x14ac:dyDescent="0.2">
      <c r="A132" s="5" t="s">
        <v>157</v>
      </c>
      <c r="D132" s="3">
        <v>133</v>
      </c>
      <c r="E132" s="5" t="s">
        <v>58</v>
      </c>
      <c r="F132" s="9" t="s">
        <v>135</v>
      </c>
      <c r="G132" s="5">
        <v>36.560564097851199</v>
      </c>
      <c r="H132" s="5">
        <v>-5.3764507440557487</v>
      </c>
      <c r="I132" s="5">
        <v>83.425389255593302</v>
      </c>
      <c r="J132" s="5">
        <v>-46.864825157742146</v>
      </c>
      <c r="K132" s="5">
        <v>1.9764997443405701</v>
      </c>
      <c r="L132" s="5">
        <v>135.72930504810381</v>
      </c>
      <c r="M132" s="5">
        <v>-35.151444649140338</v>
      </c>
      <c r="N132" s="5">
        <v>96.026050875233196</v>
      </c>
      <c r="O132" s="5">
        <v>119</v>
      </c>
      <c r="P132" s="5">
        <v>19.7457213801252</v>
      </c>
      <c r="Q132" s="5">
        <v>-64.439109173468893</v>
      </c>
      <c r="R132" s="5">
        <v>15</v>
      </c>
      <c r="S132" s="5">
        <v>0.32595331432644398</v>
      </c>
      <c r="U132" s="3">
        <f t="shared" si="22"/>
        <v>-0.71987260976645251</v>
      </c>
      <c r="V132" s="2">
        <f t="shared" si="23"/>
        <v>0.58297067333402064</v>
      </c>
      <c r="W132" s="5">
        <f t="shared" si="24"/>
        <v>-0.24916969775176268</v>
      </c>
      <c r="X132" s="5">
        <f t="shared" si="25"/>
        <v>-0.59295399396110615</v>
      </c>
      <c r="Y132" s="5">
        <f t="shared" si="26"/>
        <v>0.332170850226436</v>
      </c>
      <c r="Z132" s="5">
        <f t="shared" si="27"/>
        <v>-0.48833442520157272</v>
      </c>
      <c r="AA132" s="5">
        <f t="shared" si="28"/>
        <v>0.26785785036025772</v>
      </c>
      <c r="AB132" s="5">
        <f t="shared" si="29"/>
        <v>0.12409133474361253</v>
      </c>
      <c r="AC132" s="5">
        <f t="shared" si="30"/>
        <v>2.0705192922496041</v>
      </c>
      <c r="AD132" s="5">
        <f t="shared" si="31"/>
        <v>8.7117141203873674E-3</v>
      </c>
      <c r="AE132" s="5">
        <f t="shared" si="32"/>
        <v>0.44755791946311996</v>
      </c>
    </row>
    <row r="133" spans="1:31" ht="16" x14ac:dyDescent="0.2">
      <c r="A133" s="5" t="s">
        <v>158</v>
      </c>
      <c r="D133" s="3">
        <v>134</v>
      </c>
      <c r="E133" s="5" t="s">
        <v>58</v>
      </c>
      <c r="F133" s="9" t="s">
        <v>135</v>
      </c>
      <c r="G133" s="5">
        <v>39.942657268591802</v>
      </c>
      <c r="H133" s="5">
        <v>-3.7816014164349951</v>
      </c>
      <c r="I133" s="5">
        <v>84.740728297951804</v>
      </c>
      <c r="J133" s="5">
        <v>-44.798071029360102</v>
      </c>
      <c r="K133" s="5">
        <v>1.7525453827176101</v>
      </c>
      <c r="L133" s="5">
        <v>166.64336115096799</v>
      </c>
      <c r="M133" s="5">
        <v>-37.032778873197515</v>
      </c>
      <c r="N133" s="5">
        <v>184.640852845924</v>
      </c>
      <c r="O133" s="5">
        <v>19</v>
      </c>
      <c r="P133" s="5">
        <v>6.5652613169610898</v>
      </c>
      <c r="Q133" s="5">
        <v>-65.023486013722106</v>
      </c>
      <c r="R133" s="5">
        <v>19</v>
      </c>
      <c r="S133" s="5">
        <v>6.4425319713665094E-2</v>
      </c>
      <c r="U133" s="3">
        <f t="shared" si="22"/>
        <v>-0.40597442769679654</v>
      </c>
      <c r="V133" s="2">
        <f t="shared" si="23"/>
        <v>0.89098476047798036</v>
      </c>
      <c r="W133" s="5">
        <f t="shared" si="24"/>
        <v>-0.14316608244982346</v>
      </c>
      <c r="X133" s="5">
        <f t="shared" si="25"/>
        <v>-0.33022444656233341</v>
      </c>
      <c r="Y133" s="5">
        <f t="shared" si="26"/>
        <v>-0.22068719401732204</v>
      </c>
      <c r="Z133" s="5">
        <f t="shared" si="27"/>
        <v>7.2687398056323529E-2</v>
      </c>
      <c r="AA133" s="5">
        <f t="shared" si="28"/>
        <v>7.7594951799474315E-2</v>
      </c>
      <c r="AB133" s="5">
        <f t="shared" si="29"/>
        <v>-1.2904363698511008</v>
      </c>
      <c r="AC133" s="5">
        <f t="shared" si="30"/>
        <v>-0.2539598076497197</v>
      </c>
      <c r="AD133" s="5">
        <f t="shared" si="31"/>
        <v>-9.0082162077861655E-2</v>
      </c>
      <c r="AE133" s="5">
        <f t="shared" si="32"/>
        <v>1.1307558742619463</v>
      </c>
    </row>
    <row r="134" spans="1:31" ht="16" x14ac:dyDescent="0.2">
      <c r="A134" s="5" t="s">
        <v>159</v>
      </c>
      <c r="D134" s="5">
        <v>135</v>
      </c>
      <c r="E134" s="5" t="s">
        <v>58</v>
      </c>
      <c r="F134" s="9" t="s">
        <v>135</v>
      </c>
      <c r="G134" s="5">
        <v>13.1824786023708</v>
      </c>
      <c r="H134" s="5">
        <v>-0.95362122950010075</v>
      </c>
      <c r="I134" s="5">
        <v>59.2231534358978</v>
      </c>
      <c r="J134" s="5">
        <v>-46.040674833527</v>
      </c>
      <c r="K134" s="5">
        <v>1.997859357132</v>
      </c>
      <c r="L134" s="5">
        <v>85.935507361144388</v>
      </c>
      <c r="M134" s="5">
        <v>-20.711830145422077</v>
      </c>
      <c r="N134" s="5">
        <v>325.08049793042102</v>
      </c>
      <c r="O134" s="5">
        <v>214</v>
      </c>
      <c r="P134" s="5">
        <v>4.46186780015225</v>
      </c>
      <c r="Q134" s="5">
        <v>-69.338358085524703</v>
      </c>
      <c r="R134" s="5">
        <v>17</v>
      </c>
      <c r="S134" s="5">
        <v>1.0931151241535</v>
      </c>
      <c r="U134" s="3">
        <f t="shared" si="22"/>
        <v>-2.8896349926559091</v>
      </c>
      <c r="V134" s="2">
        <f t="shared" si="23"/>
        <v>1.4371540572600328</v>
      </c>
      <c r="W134" s="5">
        <f t="shared" si="24"/>
        <v>-2.1996360130202857</v>
      </c>
      <c r="X134" s="5">
        <f t="shared" si="25"/>
        <v>-0.48818650435211886</v>
      </c>
      <c r="Y134" s="5">
        <f t="shared" si="26"/>
        <v>0.38489960115630073</v>
      </c>
      <c r="Z134" s="5">
        <f t="shared" si="27"/>
        <v>-1.3919818492833509</v>
      </c>
      <c r="AA134" s="5">
        <f t="shared" si="28"/>
        <v>1.7281634539297528</v>
      </c>
      <c r="AB134" s="5">
        <f t="shared" si="29"/>
        <v>1.4678926541085902</v>
      </c>
      <c r="AC134" s="5">
        <f t="shared" si="30"/>
        <v>-0.62491000553774068</v>
      </c>
      <c r="AD134" s="5">
        <f t="shared" si="31"/>
        <v>-0.8195479928733419</v>
      </c>
      <c r="AE134" s="5">
        <f t="shared" si="32"/>
        <v>0.7891568968625331</v>
      </c>
    </row>
    <row r="135" spans="1:31" ht="16" x14ac:dyDescent="0.2">
      <c r="A135" s="5" t="s">
        <v>160</v>
      </c>
      <c r="D135" s="3">
        <v>136</v>
      </c>
      <c r="E135" s="5" t="s">
        <v>58</v>
      </c>
      <c r="F135" s="9" t="s">
        <v>135</v>
      </c>
      <c r="G135" s="5">
        <v>53.156798851213601</v>
      </c>
      <c r="H135" s="5">
        <v>-5.4586594324077993</v>
      </c>
      <c r="I135" s="5">
        <v>97.302213323458304</v>
      </c>
      <c r="J135" s="5">
        <v>-44.145414472244703</v>
      </c>
      <c r="K135" s="5">
        <v>1.7270240221806299</v>
      </c>
      <c r="L135" s="5">
        <v>197.85735677881161</v>
      </c>
      <c r="M135" s="5">
        <v>-43.370319618441201</v>
      </c>
      <c r="N135" s="5">
        <v>131.12714012645199</v>
      </c>
      <c r="O135" s="5">
        <v>39</v>
      </c>
      <c r="P135" s="5">
        <v>11.9664063089976</v>
      </c>
      <c r="Q135" s="5">
        <v>-56.803039015272802</v>
      </c>
      <c r="R135" s="5">
        <v>15</v>
      </c>
      <c r="S135" s="5">
        <v>0.18515480828378</v>
      </c>
      <c r="U135" s="3">
        <f t="shared" si="22"/>
        <v>0.82045394402299621</v>
      </c>
      <c r="V135" s="2">
        <f t="shared" si="23"/>
        <v>0.56709366623402435</v>
      </c>
      <c r="W135" s="5">
        <f t="shared" si="24"/>
        <v>0.86916821569224978</v>
      </c>
      <c r="X135" s="5">
        <f t="shared" si="25"/>
        <v>-0.24725755683752279</v>
      </c>
      <c r="Y135" s="5">
        <f t="shared" si="26"/>
        <v>-0.28368971547153315</v>
      </c>
      <c r="Z135" s="5">
        <f t="shared" si="27"/>
        <v>0.63915246106933821</v>
      </c>
      <c r="AA135" s="5">
        <f t="shared" si="28"/>
        <v>-0.56333256470356075</v>
      </c>
      <c r="AB135" s="5">
        <f t="shared" si="29"/>
        <v>-1.0075308289321581</v>
      </c>
      <c r="AC135" s="5">
        <f t="shared" si="30"/>
        <v>0.69857512583126247</v>
      </c>
      <c r="AD135" s="5">
        <f t="shared" si="31"/>
        <v>1.2996543351918939</v>
      </c>
      <c r="AE135" s="5">
        <f t="shared" si="32"/>
        <v>0.44755791946311996</v>
      </c>
    </row>
    <row r="136" spans="1:31" ht="16" x14ac:dyDescent="0.2">
      <c r="A136" s="5" t="s">
        <v>161</v>
      </c>
      <c r="D136" s="3">
        <v>137</v>
      </c>
      <c r="E136" s="5" t="s">
        <v>58</v>
      </c>
      <c r="F136" s="9" t="s">
        <v>135</v>
      </c>
      <c r="G136" s="5">
        <v>52.412461639452097</v>
      </c>
      <c r="H136" s="5">
        <v>-4.4721546968493016</v>
      </c>
      <c r="I136" s="5">
        <v>95.723806787286605</v>
      </c>
      <c r="J136" s="5">
        <v>-43.311345147834601</v>
      </c>
      <c r="K136" s="5">
        <v>0.57321806761287397</v>
      </c>
      <c r="L136" s="5">
        <v>192.89954354657439</v>
      </c>
      <c r="M136" s="5">
        <v>-42.389794101610001</v>
      </c>
      <c r="N136" s="5">
        <v>97.685717198281694</v>
      </c>
      <c r="O136" s="5">
        <v>100</v>
      </c>
      <c r="P136" s="5">
        <v>4.5059710695100303</v>
      </c>
      <c r="Q136" s="5">
        <v>-64.604260854440199</v>
      </c>
      <c r="R136" s="5">
        <v>18</v>
      </c>
      <c r="S136" s="5">
        <v>0.16820175438596499</v>
      </c>
      <c r="U136" s="3">
        <f t="shared" si="22"/>
        <v>0.75137066162259758</v>
      </c>
      <c r="V136" s="2">
        <f t="shared" si="23"/>
        <v>0.75761784323546433</v>
      </c>
      <c r="W136" s="5">
        <f t="shared" si="24"/>
        <v>0.74196390268835732</v>
      </c>
      <c r="X136" s="5">
        <f t="shared" si="25"/>
        <v>-0.14122914586586288</v>
      </c>
      <c r="Y136" s="5">
        <f t="shared" si="26"/>
        <v>-3.131997285176551</v>
      </c>
      <c r="Z136" s="5">
        <f t="shared" si="27"/>
        <v>0.54917910365331968</v>
      </c>
      <c r="AA136" s="5">
        <f t="shared" si="28"/>
        <v>-0.46417015934275518</v>
      </c>
      <c r="AB136" s="5">
        <f t="shared" si="29"/>
        <v>-0.14466892912938298</v>
      </c>
      <c r="AC136" s="5">
        <f t="shared" si="30"/>
        <v>-0.61713204275282252</v>
      </c>
      <c r="AD136" s="5">
        <f t="shared" si="31"/>
        <v>-1.9208582510023435E-2</v>
      </c>
      <c r="AE136" s="5">
        <f t="shared" si="32"/>
        <v>0.95995638556223972</v>
      </c>
    </row>
    <row r="137" spans="1:31" ht="16" x14ac:dyDescent="0.2">
      <c r="A137" s="5" t="s">
        <v>162</v>
      </c>
      <c r="D137" s="3">
        <v>138</v>
      </c>
      <c r="E137" s="5" t="s">
        <v>58</v>
      </c>
      <c r="F137" s="9" t="s">
        <v>135</v>
      </c>
      <c r="G137" s="5">
        <v>53.103014491467</v>
      </c>
      <c r="H137" s="5">
        <v>-6.9712998303606994</v>
      </c>
      <c r="I137" s="5">
        <v>92.665641853809802</v>
      </c>
      <c r="J137" s="5">
        <v>-39.562627362342802</v>
      </c>
      <c r="K137" s="5">
        <v>1.5877356608687301</v>
      </c>
      <c r="L137" s="5">
        <v>167.79342698855839</v>
      </c>
      <c r="M137" s="5">
        <v>-33.521805276118918</v>
      </c>
      <c r="N137" s="5">
        <v>84.292057318474605</v>
      </c>
      <c r="O137" s="5">
        <v>159</v>
      </c>
      <c r="P137" s="5">
        <v>6.3925400118678297</v>
      </c>
      <c r="Q137" s="5">
        <v>-65.334632298779695</v>
      </c>
      <c r="R137" s="5">
        <v>10</v>
      </c>
      <c r="S137" s="5">
        <v>0.205175983436853</v>
      </c>
      <c r="U137" s="3">
        <f t="shared" si="22"/>
        <v>0.81546212035169807</v>
      </c>
      <c r="V137" s="2">
        <f t="shared" si="23"/>
        <v>0.27495663279550853</v>
      </c>
      <c r="W137" s="5">
        <f t="shared" si="24"/>
        <v>0.49550536333193207</v>
      </c>
      <c r="X137" s="5">
        <f t="shared" si="25"/>
        <v>0.33531468369891299</v>
      </c>
      <c r="Y137" s="5">
        <f t="shared" si="26"/>
        <v>-0.62753964303159571</v>
      </c>
      <c r="Z137" s="5">
        <f t="shared" si="27"/>
        <v>9.3558552295181535E-2</v>
      </c>
      <c r="AA137" s="5">
        <f t="shared" si="28"/>
        <v>0.43266637122539964</v>
      </c>
      <c r="AB137" s="5">
        <f t="shared" si="29"/>
        <v>0.68990241658149787</v>
      </c>
      <c r="AC137" s="5">
        <f t="shared" si="30"/>
        <v>-0.28442058533673437</v>
      </c>
      <c r="AD137" s="5">
        <f t="shared" si="31"/>
        <v>-0.14268408852006123</v>
      </c>
      <c r="AE137" s="5">
        <f t="shared" si="32"/>
        <v>-0.40643952403541289</v>
      </c>
    </row>
    <row r="138" spans="1:31" ht="16" x14ac:dyDescent="0.2">
      <c r="A138" s="5" t="s">
        <v>163</v>
      </c>
      <c r="D138" s="5">
        <v>139</v>
      </c>
      <c r="E138" s="5" t="s">
        <v>58</v>
      </c>
      <c r="F138" s="9" t="s">
        <v>135</v>
      </c>
      <c r="G138" s="5">
        <v>51.787675723593203</v>
      </c>
      <c r="H138" s="5">
        <v>-6.9712998485126008</v>
      </c>
      <c r="I138" s="5">
        <v>91.679137974984599</v>
      </c>
      <c r="J138" s="5">
        <v>-39.891462251391403</v>
      </c>
      <c r="K138" s="5">
        <v>0.54664210265867996</v>
      </c>
      <c r="L138" s="5">
        <v>201.52091516514278</v>
      </c>
      <c r="M138" s="5">
        <v>-40.919005557691605</v>
      </c>
      <c r="N138" s="5">
        <v>121.588321750689</v>
      </c>
      <c r="O138" s="5">
        <v>60</v>
      </c>
      <c r="P138" s="5">
        <v>7.3052140772999801</v>
      </c>
      <c r="Q138" s="5">
        <v>-60.972344816159001</v>
      </c>
      <c r="R138" s="5">
        <v>15</v>
      </c>
      <c r="S138" s="5">
        <v>0.20310006838386199</v>
      </c>
      <c r="U138" s="3">
        <f t="shared" si="22"/>
        <v>0.69338315114609406</v>
      </c>
      <c r="V138" s="2">
        <f t="shared" si="23"/>
        <v>0.27495662928982234</v>
      </c>
      <c r="W138" s="5">
        <f t="shared" si="24"/>
        <v>0.41600268432884363</v>
      </c>
      <c r="X138" s="5">
        <f t="shared" si="25"/>
        <v>0.29351259394753149</v>
      </c>
      <c r="Y138" s="5">
        <f t="shared" si="26"/>
        <v>-3.197603223377488</v>
      </c>
      <c r="Z138" s="5">
        <f t="shared" si="27"/>
        <v>0.70563795228641746</v>
      </c>
      <c r="AA138" s="5">
        <f t="shared" si="28"/>
        <v>-0.31542652413027883</v>
      </c>
      <c r="AB138" s="5">
        <f t="shared" si="29"/>
        <v>-0.71048001096726832</v>
      </c>
      <c r="AC138" s="5">
        <f t="shared" si="30"/>
        <v>-0.12346324546009471</v>
      </c>
      <c r="AD138" s="5">
        <f t="shared" si="31"/>
        <v>0.59479772084195914</v>
      </c>
      <c r="AE138" s="5">
        <f t="shared" si="32"/>
        <v>0.44755791946311996</v>
      </c>
    </row>
    <row r="139" spans="1:31" ht="16" x14ac:dyDescent="0.2">
      <c r="A139" s="5" t="s">
        <v>164</v>
      </c>
      <c r="D139" s="3">
        <v>140</v>
      </c>
      <c r="E139" s="5" t="s">
        <v>58</v>
      </c>
      <c r="F139" s="9" t="s">
        <v>135</v>
      </c>
      <c r="G139" s="5">
        <v>41.9884016151032</v>
      </c>
      <c r="H139" s="5">
        <v>-2.1703103007714972</v>
      </c>
      <c r="I139" s="5">
        <v>82.570417136251606</v>
      </c>
      <c r="J139" s="5">
        <v>-40.582015521148399</v>
      </c>
      <c r="K139" s="5">
        <v>2.2493493673241498</v>
      </c>
      <c r="L139" s="5">
        <v>124.669490662594</v>
      </c>
      <c r="M139" s="5">
        <v>-33.652618952621843</v>
      </c>
      <c r="N139" s="5">
        <v>83.552047855895097</v>
      </c>
      <c r="O139" s="5">
        <v>100</v>
      </c>
      <c r="P139" s="5">
        <v>6.4670114544955197</v>
      </c>
      <c r="Q139" s="5">
        <v>-62.971407111778298</v>
      </c>
      <c r="R139" s="5">
        <v>9</v>
      </c>
      <c r="S139" s="5">
        <v>8.4576372315035703E-2</v>
      </c>
      <c r="U139" s="3">
        <f t="shared" si="22"/>
        <v>-0.21610519614969922</v>
      </c>
      <c r="V139" s="2">
        <f t="shared" si="23"/>
        <v>1.2021742587703748</v>
      </c>
      <c r="W139" s="5">
        <f t="shared" si="24"/>
        <v>-0.31807218807096899</v>
      </c>
      <c r="X139" s="5">
        <f t="shared" si="25"/>
        <v>0.20572820511941792</v>
      </c>
      <c r="Y139" s="5">
        <f t="shared" si="26"/>
        <v>1.0057326770298289</v>
      </c>
      <c r="Z139" s="5">
        <f t="shared" si="27"/>
        <v>-0.68904562307242578</v>
      </c>
      <c r="AA139" s="5">
        <f t="shared" si="28"/>
        <v>0.4194369359955632</v>
      </c>
      <c r="AB139" s="5">
        <f t="shared" si="29"/>
        <v>-0.14466892912938298</v>
      </c>
      <c r="AC139" s="5">
        <f t="shared" si="30"/>
        <v>-0.27128695334681574</v>
      </c>
      <c r="AD139" s="5">
        <f t="shared" si="31"/>
        <v>0.25683923354046956</v>
      </c>
      <c r="AE139" s="5">
        <f t="shared" si="32"/>
        <v>-0.57723901273511946</v>
      </c>
    </row>
    <row r="140" spans="1:31" ht="16" x14ac:dyDescent="0.2">
      <c r="A140" s="5" t="s">
        <v>165</v>
      </c>
      <c r="D140" s="3">
        <v>141</v>
      </c>
      <c r="E140" s="5" t="s">
        <v>58</v>
      </c>
      <c r="F140" s="9" t="s">
        <v>135</v>
      </c>
      <c r="G140" s="5">
        <v>53.497616120082903</v>
      </c>
      <c r="H140" s="5">
        <v>-6.6095816830740972</v>
      </c>
      <c r="I140" s="5">
        <v>97.795465966749703</v>
      </c>
      <c r="J140" s="5">
        <v>-44.297849846666701</v>
      </c>
      <c r="K140" s="5">
        <v>0.44310095871914801</v>
      </c>
      <c r="L140" s="5">
        <v>236.64146677002162</v>
      </c>
      <c r="M140" s="5">
        <v>-46.462421910370004</v>
      </c>
      <c r="N140" s="5">
        <v>110.178792929992</v>
      </c>
      <c r="O140" s="5">
        <v>60</v>
      </c>
      <c r="P140" s="5">
        <v>6.1673856644191796</v>
      </c>
      <c r="Q140" s="5">
        <v>-60.764175396109898</v>
      </c>
      <c r="R140" s="5">
        <v>17</v>
      </c>
      <c r="S140" s="5">
        <v>0.26858759969127899</v>
      </c>
      <c r="U140" s="3">
        <f t="shared" si="22"/>
        <v>0.85208581095130798</v>
      </c>
      <c r="V140" s="2">
        <f t="shared" si="23"/>
        <v>0.34481544830261257</v>
      </c>
      <c r="W140" s="5">
        <f t="shared" si="24"/>
        <v>0.90891961191962267</v>
      </c>
      <c r="X140" s="5">
        <f t="shared" si="25"/>
        <v>-0.2666354191480273</v>
      </c>
      <c r="Y140" s="5">
        <f t="shared" si="26"/>
        <v>-3.4532068826334932</v>
      </c>
      <c r="Z140" s="5">
        <f t="shared" si="27"/>
        <v>1.3429983759600566</v>
      </c>
      <c r="AA140" s="5">
        <f t="shared" si="28"/>
        <v>-0.87604273453191539</v>
      </c>
      <c r="AB140" s="5">
        <f t="shared" si="29"/>
        <v>-0.71048001096726832</v>
      </c>
      <c r="AC140" s="5">
        <f t="shared" si="30"/>
        <v>-0.32412834761420817</v>
      </c>
      <c r="AD140" s="5">
        <f t="shared" si="31"/>
        <v>0.62999053221976986</v>
      </c>
      <c r="AE140" s="5">
        <f t="shared" si="32"/>
        <v>0.7891568968625331</v>
      </c>
    </row>
    <row r="141" spans="1:31" ht="16" x14ac:dyDescent="0.2">
      <c r="A141" s="5" t="s">
        <v>166</v>
      </c>
      <c r="D141" s="3">
        <v>142</v>
      </c>
      <c r="E141" s="5" t="s">
        <v>58</v>
      </c>
      <c r="F141" s="9" t="s">
        <v>135</v>
      </c>
      <c r="G141" s="5">
        <v>51.491724499583</v>
      </c>
      <c r="H141" s="5">
        <v>-4.1104363655919904</v>
      </c>
      <c r="I141" s="5">
        <v>96.907613014279804</v>
      </c>
      <c r="J141" s="5">
        <v>-45.415888514696803</v>
      </c>
      <c r="K141" s="5">
        <v>1.67602678279776</v>
      </c>
      <c r="L141" s="5">
        <v>207.5495548751008</v>
      </c>
      <c r="M141" s="5">
        <v>-46.036871410187999</v>
      </c>
      <c r="N141" s="5">
        <v>158.26277402364499</v>
      </c>
      <c r="O141" s="5">
        <v>60</v>
      </c>
      <c r="P141" s="5">
        <v>8.5614483422363605</v>
      </c>
      <c r="Q141" s="5">
        <v>-59.836967324265999</v>
      </c>
      <c r="R141" s="5">
        <v>18</v>
      </c>
      <c r="S141" s="5">
        <v>0.24188679245282901</v>
      </c>
      <c r="U141" s="3">
        <f t="shared" si="22"/>
        <v>0.66591538295987651</v>
      </c>
      <c r="V141" s="2">
        <f t="shared" si="23"/>
        <v>0.82747669427292792</v>
      </c>
      <c r="W141" s="5">
        <f t="shared" si="24"/>
        <v>0.83736724421254571</v>
      </c>
      <c r="X141" s="5">
        <f t="shared" si="25"/>
        <v>-0.40876253005687591</v>
      </c>
      <c r="Y141" s="5">
        <f t="shared" si="26"/>
        <v>-0.40958248140261527</v>
      </c>
      <c r="Z141" s="5">
        <f t="shared" si="27"/>
        <v>0.81504444461442482</v>
      </c>
      <c r="AA141" s="5">
        <f t="shared" si="28"/>
        <v>-0.83300600527175661</v>
      </c>
      <c r="AB141" s="5">
        <f t="shared" si="29"/>
        <v>-0.71048001096726832</v>
      </c>
      <c r="AC141" s="5">
        <f t="shared" si="30"/>
        <v>9.8083671675437148E-2</v>
      </c>
      <c r="AD141" s="5">
        <f t="shared" si="31"/>
        <v>0.78674294461871364</v>
      </c>
      <c r="AE141" s="5">
        <f t="shared" si="32"/>
        <v>0.95995638556223972</v>
      </c>
    </row>
    <row r="142" spans="1:31" ht="16" x14ac:dyDescent="0.2">
      <c r="A142" s="5" t="s">
        <v>167</v>
      </c>
      <c r="D142" s="5">
        <v>143</v>
      </c>
      <c r="E142" s="5" t="s">
        <v>58</v>
      </c>
      <c r="F142" s="9" t="s">
        <v>135</v>
      </c>
      <c r="G142" s="5">
        <v>36.654949115686598</v>
      </c>
      <c r="H142" s="5">
        <v>-14.764684275512501</v>
      </c>
      <c r="I142" s="5">
        <v>50.278835954856099</v>
      </c>
      <c r="J142" s="5">
        <v>-13.623886839169501</v>
      </c>
      <c r="K142" s="5">
        <v>2.8524930450164701</v>
      </c>
      <c r="L142" s="5">
        <v>49.957592461285202</v>
      </c>
      <c r="M142" s="5">
        <v>-13.348524438866921</v>
      </c>
      <c r="N142" s="5">
        <v>261.05838368987997</v>
      </c>
      <c r="O142" s="5">
        <v>159</v>
      </c>
      <c r="P142" s="5">
        <v>8.3719789889978298</v>
      </c>
      <c r="Q142" s="5">
        <v>-55.985044708532001</v>
      </c>
      <c r="R142" s="5">
        <v>1</v>
      </c>
      <c r="S142" s="12" t="s">
        <v>53</v>
      </c>
      <c r="U142" s="3">
        <f t="shared" si="22"/>
        <v>-0.71111256561111769</v>
      </c>
      <c r="V142" s="2">
        <f t="shared" si="23"/>
        <v>-1.2301837927370194</v>
      </c>
      <c r="W142" s="5">
        <f t="shared" si="24"/>
        <v>-2.9204615635936846</v>
      </c>
      <c r="X142" s="5">
        <f t="shared" si="25"/>
        <v>3.6326946013974641</v>
      </c>
      <c r="Y142" s="5">
        <f t="shared" si="26"/>
        <v>2.4946647595777485</v>
      </c>
      <c r="Z142" s="5">
        <f t="shared" si="27"/>
        <v>-2.0449015226828684</v>
      </c>
      <c r="AA142" s="5">
        <f t="shared" si="28"/>
        <v>2.472828526623271</v>
      </c>
      <c r="AB142" s="5">
        <f t="shared" si="29"/>
        <v>0.68990241658149787</v>
      </c>
      <c r="AC142" s="5">
        <f t="shared" si="30"/>
        <v>6.4669242318357481E-2</v>
      </c>
      <c r="AD142" s="5">
        <f t="shared" si="31"/>
        <v>1.4379432315075085</v>
      </c>
      <c r="AE142" s="5">
        <f t="shared" si="32"/>
        <v>-1.943634922332772</v>
      </c>
    </row>
    <row r="143" spans="1:31" ht="16" x14ac:dyDescent="0.2">
      <c r="A143" s="5" t="s">
        <v>168</v>
      </c>
      <c r="D143" s="3">
        <v>144</v>
      </c>
      <c r="E143" s="5" t="s">
        <v>58</v>
      </c>
      <c r="F143" s="9" t="s">
        <v>135</v>
      </c>
      <c r="G143" s="5">
        <v>38.430281799435051</v>
      </c>
      <c r="H143" s="5">
        <v>-15.784072553791079</v>
      </c>
      <c r="I143" s="5">
        <v>54.816756102480497</v>
      </c>
      <c r="J143" s="5">
        <v>-16.386474303045421</v>
      </c>
      <c r="K143" s="5">
        <v>1.7109139633892916</v>
      </c>
      <c r="L143" s="5">
        <v>60.595638264532738</v>
      </c>
      <c r="M143" s="5">
        <v>-16.24045051208504</v>
      </c>
      <c r="N143" s="5">
        <v>290.07360020088402</v>
      </c>
      <c r="O143" s="5">
        <v>100</v>
      </c>
      <c r="P143" s="5">
        <v>16.532611704102798</v>
      </c>
      <c r="Q143" s="5">
        <v>-59.024194236499</v>
      </c>
      <c r="R143" s="5">
        <v>2</v>
      </c>
      <c r="S143" s="12" t="s">
        <v>53</v>
      </c>
      <c r="U143" s="3">
        <f t="shared" si="22"/>
        <v>-0.54634072939483391</v>
      </c>
      <c r="V143" s="2">
        <f t="shared" si="23"/>
        <v>-1.4270587855914498</v>
      </c>
      <c r="W143" s="5">
        <f t="shared" si="24"/>
        <v>-2.5547490544164595</v>
      </c>
      <c r="X143" s="5">
        <f t="shared" si="25"/>
        <v>3.2815094536015597</v>
      </c>
      <c r="Y143" s="5">
        <f t="shared" si="26"/>
        <v>-0.32345931643615283</v>
      </c>
      <c r="Z143" s="5">
        <f t="shared" si="27"/>
        <v>-1.8518444928133393</v>
      </c>
      <c r="AA143" s="5">
        <f t="shared" si="28"/>
        <v>2.1803625574838814</v>
      </c>
      <c r="AB143" s="5">
        <f t="shared" si="29"/>
        <v>-0.14466892912938298</v>
      </c>
      <c r="AC143" s="5">
        <f t="shared" si="30"/>
        <v>1.5038618120246388</v>
      </c>
      <c r="AD143" s="5">
        <f t="shared" si="31"/>
        <v>0.92414914944936433</v>
      </c>
      <c r="AE143" s="5">
        <f t="shared" si="32"/>
        <v>-1.7728354336330654</v>
      </c>
    </row>
    <row r="144" spans="1:31" ht="16" x14ac:dyDescent="0.2">
      <c r="A144" s="5" t="s">
        <v>169</v>
      </c>
      <c r="D144" s="3">
        <v>145</v>
      </c>
      <c r="E144" s="5" t="s">
        <v>58</v>
      </c>
      <c r="F144" s="9" t="s">
        <v>135</v>
      </c>
      <c r="G144" s="5">
        <v>37.713550330544102</v>
      </c>
      <c r="H144" s="5">
        <v>-8.6812403797353994</v>
      </c>
      <c r="I144" s="5">
        <v>62.708792941140501</v>
      </c>
      <c r="J144" s="5">
        <v>-24.995242610596399</v>
      </c>
      <c r="K144" s="5">
        <v>2.14412979633593</v>
      </c>
      <c r="L144" s="5">
        <v>74.3166625307868</v>
      </c>
      <c r="M144" s="5">
        <v>-26.670850783284639</v>
      </c>
      <c r="N144" s="5">
        <v>247.66418859794101</v>
      </c>
      <c r="O144" s="5">
        <v>159</v>
      </c>
      <c r="P144" s="5">
        <v>12.614179224688399</v>
      </c>
      <c r="Q144" s="5">
        <v>-55.812991236158503</v>
      </c>
      <c r="R144" s="5">
        <v>2</v>
      </c>
      <c r="S144" s="12" t="s">
        <v>53</v>
      </c>
      <c r="U144" s="3">
        <f t="shared" si="22"/>
        <v>-0.6128618728876718</v>
      </c>
      <c r="V144" s="2">
        <f t="shared" si="23"/>
        <v>-5.5285082371287562E-2</v>
      </c>
      <c r="W144" s="5">
        <f t="shared" si="24"/>
        <v>-1.9187271543183764</v>
      </c>
      <c r="X144" s="5">
        <f t="shared" si="25"/>
        <v>2.1871471537790859</v>
      </c>
      <c r="Y144" s="5">
        <f t="shared" si="26"/>
        <v>0.74598562048154227</v>
      </c>
      <c r="Z144" s="5">
        <f t="shared" si="27"/>
        <v>-1.6028382147239852</v>
      </c>
      <c r="AA144" s="5">
        <f t="shared" si="28"/>
        <v>1.1255163938564963</v>
      </c>
      <c r="AB144" s="5">
        <f t="shared" si="29"/>
        <v>0.68990241658149787</v>
      </c>
      <c r="AC144" s="5">
        <f t="shared" si="30"/>
        <v>0.81281503830687007</v>
      </c>
      <c r="AD144" s="5">
        <f t="shared" si="31"/>
        <v>1.4670303346887041</v>
      </c>
      <c r="AE144" s="5">
        <f t="shared" si="32"/>
        <v>-1.7728354336330654</v>
      </c>
    </row>
    <row r="145" spans="1:31" ht="16" x14ac:dyDescent="0.2">
      <c r="A145" s="5" t="s">
        <v>170</v>
      </c>
      <c r="D145" s="3">
        <v>146</v>
      </c>
      <c r="E145" s="5" t="s">
        <v>58</v>
      </c>
      <c r="F145" s="9" t="s">
        <v>135</v>
      </c>
      <c r="G145" s="5">
        <v>22.6200361143365</v>
      </c>
      <c r="H145" s="5">
        <v>-8.2866382477031024</v>
      </c>
      <c r="I145" s="5">
        <v>43.0115908721843</v>
      </c>
      <c r="J145" s="5">
        <v>-20.391554757847899</v>
      </c>
      <c r="K145" s="5">
        <v>2.5109612483038002</v>
      </c>
      <c r="L145" s="5">
        <v>42.958978555922002</v>
      </c>
      <c r="M145" s="5">
        <v>-18.7788161996464</v>
      </c>
      <c r="N145" s="5">
        <v>21.621277903776502</v>
      </c>
      <c r="O145" s="5">
        <v>340</v>
      </c>
      <c r="P145" s="5">
        <v>20.8451105686026</v>
      </c>
      <c r="Q145" s="5">
        <v>-61.515643292598199</v>
      </c>
      <c r="R145" s="5">
        <v>1</v>
      </c>
      <c r="S145" s="12" t="s">
        <v>53</v>
      </c>
      <c r="U145" s="3">
        <f t="shared" si="22"/>
        <v>-2.0137182166744974</v>
      </c>
      <c r="V145" s="2">
        <f t="shared" si="23"/>
        <v>2.0924634357445623E-2</v>
      </c>
      <c r="W145" s="5">
        <f t="shared" si="24"/>
        <v>-3.5061312861825824</v>
      </c>
      <c r="X145" s="5">
        <f t="shared" si="25"/>
        <v>2.7723763347967214</v>
      </c>
      <c r="Y145" s="5">
        <f t="shared" si="26"/>
        <v>1.6515527977955067</v>
      </c>
      <c r="Z145" s="5">
        <f t="shared" si="27"/>
        <v>-2.1719109038006423</v>
      </c>
      <c r="AA145" s="5">
        <f t="shared" si="28"/>
        <v>1.9236528207731212</v>
      </c>
      <c r="AB145" s="5">
        <f t="shared" si="29"/>
        <v>3.2501975618979286</v>
      </c>
      <c r="AC145" s="5">
        <f t="shared" si="30"/>
        <v>2.2644053310543462</v>
      </c>
      <c r="AD145" s="5">
        <f t="shared" si="31"/>
        <v>0.50294849150430443</v>
      </c>
      <c r="AE145" s="5">
        <f t="shared" si="32"/>
        <v>-1.943634922332772</v>
      </c>
    </row>
    <row r="146" spans="1:31" ht="16" x14ac:dyDescent="0.2">
      <c r="A146" s="5" t="s">
        <v>171</v>
      </c>
      <c r="D146" s="5">
        <v>147</v>
      </c>
      <c r="E146" s="5" t="s">
        <v>58</v>
      </c>
      <c r="F146" s="9" t="s">
        <v>135</v>
      </c>
      <c r="G146" s="5">
        <v>12.4919255919247</v>
      </c>
      <c r="H146" s="5">
        <v>-2.7622132307136056</v>
      </c>
      <c r="I146" s="5">
        <v>58.269532501353602</v>
      </c>
      <c r="J146" s="5">
        <v>-45.777606909428798</v>
      </c>
      <c r="K146" s="5">
        <v>0.86687850015004797</v>
      </c>
      <c r="L146" s="5">
        <v>67.052413299679998</v>
      </c>
      <c r="M146" s="5">
        <v>-12.749138102701121</v>
      </c>
      <c r="N146" s="5">
        <v>295.94433427055299</v>
      </c>
      <c r="O146" s="5">
        <v>0</v>
      </c>
      <c r="P146" s="5">
        <v>1.6544477182066599</v>
      </c>
      <c r="Q146" s="5">
        <v>-68.219444390388503</v>
      </c>
      <c r="R146" s="5">
        <v>8</v>
      </c>
      <c r="S146" s="5">
        <v>1</v>
      </c>
      <c r="U146" s="3">
        <f t="shared" si="22"/>
        <v>-2.9537264660892957</v>
      </c>
      <c r="V146" s="2">
        <f t="shared" si="23"/>
        <v>1.0878597354567925</v>
      </c>
      <c r="W146" s="5">
        <f t="shared" si="24"/>
        <v>-2.2764886444969896</v>
      </c>
      <c r="X146" s="5">
        <f t="shared" si="25"/>
        <v>-0.45474483091631335</v>
      </c>
      <c r="Y146" s="5">
        <f t="shared" si="26"/>
        <v>-2.4070614936709234</v>
      </c>
      <c r="Z146" s="5">
        <f t="shared" si="27"/>
        <v>-1.7346682901652251</v>
      </c>
      <c r="AA146" s="5">
        <f t="shared" si="28"/>
        <v>2.5334456037052466</v>
      </c>
      <c r="AB146" s="5">
        <f t="shared" si="29"/>
        <v>-1.5591966337240963</v>
      </c>
      <c r="AC146" s="5">
        <f t="shared" si="30"/>
        <v>-1.1200208949791512</v>
      </c>
      <c r="AD146" s="5">
        <f t="shared" si="31"/>
        <v>-0.63038611399752476</v>
      </c>
      <c r="AE146" s="5">
        <f t="shared" si="32"/>
        <v>-0.74803850143482609</v>
      </c>
    </row>
    <row r="147" spans="1:31" ht="16" x14ac:dyDescent="0.2">
      <c r="A147" s="5" t="s">
        <v>172</v>
      </c>
      <c r="D147" s="3">
        <v>148</v>
      </c>
      <c r="E147" s="5" t="s">
        <v>58</v>
      </c>
      <c r="F147" s="9" t="s">
        <v>135</v>
      </c>
      <c r="G147" s="5">
        <v>44.816380101974801</v>
      </c>
      <c r="H147" s="5">
        <v>-6.1163292919519989</v>
      </c>
      <c r="I147" s="5">
        <v>88.818278538180806</v>
      </c>
      <c r="J147" s="5">
        <v>-44.001898436205998</v>
      </c>
      <c r="K147" s="5">
        <v>1.90673405558672</v>
      </c>
      <c r="L147" s="5">
        <v>151.70245221776639</v>
      </c>
      <c r="M147" s="5">
        <v>-36.896379511246082</v>
      </c>
      <c r="N147" s="5">
        <v>189.06141264861699</v>
      </c>
      <c r="O147" s="5">
        <v>60</v>
      </c>
      <c r="P147" s="5">
        <v>1.5025465059208001</v>
      </c>
      <c r="Q147" s="5">
        <v>-65.767687858594101</v>
      </c>
      <c r="R147" s="5">
        <v>13</v>
      </c>
      <c r="S147" s="5">
        <v>8.0698835274542205E-2</v>
      </c>
      <c r="U147" s="3">
        <f t="shared" si="22"/>
        <v>4.6364600259459363E-2</v>
      </c>
      <c r="V147" s="2">
        <f t="shared" si="23"/>
        <v>0.44007754131154936</v>
      </c>
      <c r="W147" s="5">
        <f t="shared" si="24"/>
        <v>0.18544506123259533</v>
      </c>
      <c r="X147" s="5">
        <f t="shared" si="25"/>
        <v>-0.22901353706027294</v>
      </c>
      <c r="Y147" s="5">
        <f t="shared" si="26"/>
        <v>0.15994592921905701</v>
      </c>
      <c r="Z147" s="5">
        <f t="shared" si="27"/>
        <v>-0.19845709178169368</v>
      </c>
      <c r="AA147" s="5">
        <f t="shared" si="28"/>
        <v>9.1389277993549012E-2</v>
      </c>
      <c r="AB147" s="5">
        <f t="shared" si="29"/>
        <v>-0.71048001096726832</v>
      </c>
      <c r="AC147" s="5">
        <f t="shared" si="30"/>
        <v>-1.1468098834906104</v>
      </c>
      <c r="AD147" s="5">
        <f t="shared" si="31"/>
        <v>-0.21589581495454765</v>
      </c>
      <c r="AE147" s="5">
        <f t="shared" si="32"/>
        <v>0.10595894206370683</v>
      </c>
    </row>
    <row r="148" spans="1:31" ht="16" x14ac:dyDescent="0.2">
      <c r="A148" s="5" t="s">
        <v>173</v>
      </c>
      <c r="D148" s="3">
        <v>149</v>
      </c>
      <c r="E148" s="5" t="s">
        <v>58</v>
      </c>
      <c r="F148" s="9" t="s">
        <v>135</v>
      </c>
      <c r="G148" s="5">
        <v>40.607295826543698</v>
      </c>
      <c r="H148" s="5">
        <v>-5.0640999999999998</v>
      </c>
      <c r="I148" s="5">
        <v>87.174106509928293</v>
      </c>
      <c r="J148" s="5">
        <v>-46.566810683384503</v>
      </c>
      <c r="K148" s="5">
        <v>2.0644833302958698</v>
      </c>
      <c r="L148" s="5">
        <v>135.60325124273442</v>
      </c>
      <c r="M148" s="5">
        <v>-36.47798555111148</v>
      </c>
      <c r="N148" s="5">
        <v>284.48537000097201</v>
      </c>
      <c r="O148" s="5">
        <v>39</v>
      </c>
      <c r="P148" s="5">
        <v>7.5016918436599402</v>
      </c>
      <c r="Q148" s="5">
        <v>-63.4747203443034</v>
      </c>
      <c r="R148" s="5">
        <v>14</v>
      </c>
      <c r="S148" s="5">
        <v>9.6002676032781203E-2</v>
      </c>
      <c r="U148" s="3">
        <f t="shared" si="22"/>
        <v>-0.34428812145325427</v>
      </c>
      <c r="V148" s="2">
        <f t="shared" si="23"/>
        <v>0.64329513636188229</v>
      </c>
      <c r="W148" s="5">
        <f t="shared" si="24"/>
        <v>5.2940685128487146E-2</v>
      </c>
      <c r="X148" s="5">
        <f t="shared" si="25"/>
        <v>-0.55506985143489196</v>
      </c>
      <c r="Y148" s="5">
        <f t="shared" si="26"/>
        <v>0.54936882263606435</v>
      </c>
      <c r="Z148" s="5">
        <f t="shared" si="27"/>
        <v>-0.49062202329228016</v>
      </c>
      <c r="AA148" s="5">
        <f t="shared" si="28"/>
        <v>0.13370225278431364</v>
      </c>
      <c r="AB148" s="5">
        <f t="shared" si="29"/>
        <v>-1.0075308289321581</v>
      </c>
      <c r="AC148" s="5">
        <f t="shared" si="30"/>
        <v>-8.8812826634805844E-2</v>
      </c>
      <c r="AD148" s="5">
        <f t="shared" si="31"/>
        <v>0.17174984984504513</v>
      </c>
      <c r="AE148" s="5">
        <f t="shared" si="32"/>
        <v>0.27675843076341339</v>
      </c>
    </row>
    <row r="149" spans="1:31" ht="16" x14ac:dyDescent="0.2">
      <c r="A149" s="5" t="s">
        <v>174</v>
      </c>
      <c r="D149" s="3">
        <v>150</v>
      </c>
      <c r="E149" s="5" t="s">
        <v>58</v>
      </c>
      <c r="F149" s="9" t="s">
        <v>135</v>
      </c>
      <c r="G149" s="5">
        <v>14.234749850603301</v>
      </c>
      <c r="H149" s="5">
        <v>-5.886145032179499</v>
      </c>
      <c r="I149" s="5">
        <v>62.051133186298301</v>
      </c>
      <c r="J149" s="5">
        <v>-47.816383335695001</v>
      </c>
      <c r="K149" s="5">
        <v>2.6640586536035999</v>
      </c>
      <c r="L149" s="5">
        <v>67.253873166529203</v>
      </c>
      <c r="M149" s="5">
        <v>-20.18334944672748</v>
      </c>
      <c r="N149" s="5">
        <v>258.68943227407999</v>
      </c>
      <c r="O149" s="5">
        <v>0</v>
      </c>
      <c r="P149" s="5">
        <v>4.1444695617532901</v>
      </c>
      <c r="Q149" s="5">
        <v>-60.378274809645902</v>
      </c>
      <c r="R149" s="5">
        <v>18</v>
      </c>
      <c r="S149" s="5">
        <v>0.28186412128018201</v>
      </c>
      <c r="U149" s="3">
        <f t="shared" si="22"/>
        <v>-2.7919717955796379</v>
      </c>
      <c r="V149" s="2">
        <f t="shared" si="23"/>
        <v>0.48453314813335835</v>
      </c>
      <c r="W149" s="5">
        <f t="shared" si="24"/>
        <v>-1.9717281748969622</v>
      </c>
      <c r="X149" s="5">
        <f t="shared" si="25"/>
        <v>-0.71391780188772602</v>
      </c>
      <c r="Y149" s="5">
        <f t="shared" si="26"/>
        <v>2.02949199692278</v>
      </c>
      <c r="Z149" s="5">
        <f t="shared" si="27"/>
        <v>-1.7310122386449407</v>
      </c>
      <c r="AA149" s="5">
        <f t="shared" si="28"/>
        <v>1.7816097094016918</v>
      </c>
      <c r="AB149" s="5">
        <f t="shared" si="29"/>
        <v>-1.5591966337240963</v>
      </c>
      <c r="AC149" s="5">
        <f t="shared" si="30"/>
        <v>-0.680885712604686</v>
      </c>
      <c r="AD149" s="5">
        <f t="shared" si="31"/>
        <v>0.69523030925719698</v>
      </c>
      <c r="AE149" s="5">
        <f t="shared" si="32"/>
        <v>0.95995638556223972</v>
      </c>
    </row>
    <row r="150" spans="1:31" ht="16" x14ac:dyDescent="0.2">
      <c r="A150" s="5" t="s">
        <v>175</v>
      </c>
      <c r="D150" s="5">
        <v>151</v>
      </c>
      <c r="E150" s="5" t="s">
        <v>58</v>
      </c>
      <c r="F150" s="9" t="s">
        <v>135</v>
      </c>
      <c r="G150" s="5">
        <v>51.0313559279926</v>
      </c>
      <c r="H150" s="5">
        <v>-7.5632030546020061</v>
      </c>
      <c r="I150" s="5">
        <v>97.039147270977097</v>
      </c>
      <c r="J150" s="5">
        <v>-46.007791342984497</v>
      </c>
      <c r="K150" s="5">
        <v>1.92875947214871</v>
      </c>
      <c r="L150" s="5">
        <v>173.81267308686759</v>
      </c>
      <c r="M150" s="5">
        <v>-39.515910327606079</v>
      </c>
      <c r="N150" s="5">
        <v>216.20412710179099</v>
      </c>
      <c r="O150" s="5">
        <v>39</v>
      </c>
      <c r="P150" s="5">
        <v>1.9748515344103801</v>
      </c>
      <c r="Q150" s="5">
        <v>-62.276001491089701</v>
      </c>
      <c r="R150" s="5">
        <v>9</v>
      </c>
      <c r="S150" s="5">
        <v>0.36935730680948697</v>
      </c>
      <c r="U150" s="3">
        <f t="shared" si="22"/>
        <v>0.62318774347483341</v>
      </c>
      <c r="V150" s="2">
        <f t="shared" si="23"/>
        <v>0.16064205264376774</v>
      </c>
      <c r="W150" s="5">
        <f t="shared" si="24"/>
        <v>0.84796763414772569</v>
      </c>
      <c r="X150" s="5">
        <f t="shared" si="25"/>
        <v>-0.48400629516880062</v>
      </c>
      <c r="Y150" s="5">
        <f t="shared" si="26"/>
        <v>0.21431829614181611</v>
      </c>
      <c r="Z150" s="5">
        <f t="shared" si="27"/>
        <v>0.20279457132403139</v>
      </c>
      <c r="AA150" s="5">
        <f t="shared" si="28"/>
        <v>-0.17352884214521536</v>
      </c>
      <c r="AB150" s="5">
        <f t="shared" si="29"/>
        <v>-1.0075308289321581</v>
      </c>
      <c r="AC150" s="5">
        <f t="shared" si="30"/>
        <v>-1.0635151303302393</v>
      </c>
      <c r="AD150" s="5">
        <f t="shared" si="31"/>
        <v>0.37440346960449095</v>
      </c>
      <c r="AE150" s="5">
        <f t="shared" si="32"/>
        <v>-0.57723901273511946</v>
      </c>
    </row>
    <row r="151" spans="1:31" ht="16" x14ac:dyDescent="0.2">
      <c r="A151" s="5" t="s">
        <v>176</v>
      </c>
      <c r="D151" s="3">
        <v>152</v>
      </c>
      <c r="E151" s="5" t="s">
        <v>58</v>
      </c>
      <c r="F151" s="9" t="s">
        <v>135</v>
      </c>
      <c r="G151" s="5">
        <v>29.525565659074498</v>
      </c>
      <c r="H151" s="5">
        <v>-3.584300492794199</v>
      </c>
      <c r="I151" s="5">
        <v>74.579735780083496</v>
      </c>
      <c r="J151" s="5">
        <v>-45.054170121009001</v>
      </c>
      <c r="K151" s="5">
        <v>2.5229899961661002</v>
      </c>
      <c r="L151" s="5">
        <v>89.568339577935205</v>
      </c>
      <c r="M151" s="5">
        <v>-28.788957927739883</v>
      </c>
      <c r="N151" s="5">
        <v>190.55688426482001</v>
      </c>
      <c r="O151" s="5">
        <v>159</v>
      </c>
      <c r="P151" s="5">
        <v>1.9667071294591201</v>
      </c>
      <c r="Q151" s="5">
        <v>-60.817914076339399</v>
      </c>
      <c r="R151" s="5">
        <v>12</v>
      </c>
      <c r="S151" s="12" t="s">
        <v>53</v>
      </c>
      <c r="U151" s="3">
        <f t="shared" si="22"/>
        <v>-1.3728035342895375</v>
      </c>
      <c r="V151" s="2">
        <f t="shared" si="23"/>
        <v>0.92908959134532054</v>
      </c>
      <c r="W151" s="5">
        <f t="shared" si="24"/>
        <v>-0.96204388297391474</v>
      </c>
      <c r="X151" s="5">
        <f t="shared" si="25"/>
        <v>-0.36278022933017812</v>
      </c>
      <c r="Y151" s="5">
        <f t="shared" si="26"/>
        <v>1.6812471961080007</v>
      </c>
      <c r="Z151" s="5">
        <f t="shared" si="27"/>
        <v>-1.3260539701634972</v>
      </c>
      <c r="AA151" s="5">
        <f t="shared" si="28"/>
        <v>0.91130820074911834</v>
      </c>
      <c r="AB151" s="5">
        <f t="shared" si="29"/>
        <v>0.68990241658149787</v>
      </c>
      <c r="AC151" s="5">
        <f t="shared" si="30"/>
        <v>-1.0649514610045554</v>
      </c>
      <c r="AD151" s="5">
        <f t="shared" si="31"/>
        <v>0.62090555116653356</v>
      </c>
      <c r="AE151" s="5">
        <f t="shared" si="32"/>
        <v>-6.4840546635999738E-2</v>
      </c>
    </row>
    <row r="152" spans="1:31" ht="16" x14ac:dyDescent="0.2">
      <c r="A152" s="5" t="s">
        <v>177</v>
      </c>
      <c r="D152" s="3">
        <v>153</v>
      </c>
      <c r="E152" s="5" t="s">
        <v>58</v>
      </c>
      <c r="F152" s="9" t="s">
        <v>135</v>
      </c>
      <c r="G152" s="5">
        <v>22.795412623993801</v>
      </c>
      <c r="H152" s="5">
        <v>-6.6095818024280035</v>
      </c>
      <c r="I152" s="5">
        <v>72.475194218676904</v>
      </c>
      <c r="J152" s="5">
        <v>-49.679781594683199</v>
      </c>
      <c r="K152" s="5">
        <v>2.43553580183249</v>
      </c>
      <c r="L152" s="5">
        <v>82.584515470675598</v>
      </c>
      <c r="M152" s="5">
        <v>-31.579887007431559</v>
      </c>
      <c r="N152" s="5">
        <v>293.87638431268999</v>
      </c>
      <c r="O152" s="5">
        <v>79</v>
      </c>
      <c r="P152" s="5">
        <v>16.127949655904398</v>
      </c>
      <c r="Q152" s="5">
        <v>-66.742486406766105</v>
      </c>
      <c r="R152" s="5">
        <v>14</v>
      </c>
      <c r="S152" s="5">
        <v>0.42831587017633599</v>
      </c>
      <c r="U152" s="3">
        <f t="shared" si="22"/>
        <v>-1.9974412057289079</v>
      </c>
      <c r="V152" s="2">
        <f t="shared" si="23"/>
        <v>0.34481542525173003</v>
      </c>
      <c r="W152" s="5">
        <f t="shared" si="24"/>
        <v>-1.1316495944125955</v>
      </c>
      <c r="X152" s="5">
        <f t="shared" si="25"/>
        <v>-0.95079638095261432</v>
      </c>
      <c r="Y152" s="5">
        <f t="shared" si="26"/>
        <v>1.4653560900370555</v>
      </c>
      <c r="Z152" s="5">
        <f t="shared" si="27"/>
        <v>-1.4527949491191583</v>
      </c>
      <c r="AA152" s="5">
        <f t="shared" si="28"/>
        <v>0.62905624913439062</v>
      </c>
      <c r="AB152" s="5">
        <f t="shared" si="29"/>
        <v>-0.44171974709427275</v>
      </c>
      <c r="AC152" s="5">
        <f t="shared" si="30"/>
        <v>1.4324964371400064</v>
      </c>
      <c r="AD152" s="5">
        <f t="shared" si="31"/>
        <v>-0.3806938022337984</v>
      </c>
      <c r="AE152" s="5">
        <f t="shared" si="32"/>
        <v>0.27675843076341339</v>
      </c>
    </row>
    <row r="153" spans="1:31" ht="16" x14ac:dyDescent="0.2">
      <c r="A153" s="5" t="s">
        <v>178</v>
      </c>
      <c r="D153" s="3">
        <v>154</v>
      </c>
      <c r="E153" s="5" t="s">
        <v>58</v>
      </c>
      <c r="F153" s="9" t="s">
        <v>135</v>
      </c>
      <c r="G153" s="5">
        <v>11.5054212860513</v>
      </c>
      <c r="H153" s="5">
        <v>-0.82208723886579804</v>
      </c>
      <c r="I153" s="5">
        <v>53.337009400082998</v>
      </c>
      <c r="J153" s="5">
        <v>-41.831588114031703</v>
      </c>
      <c r="K153" s="5">
        <v>2.1868445642703902</v>
      </c>
      <c r="L153" s="5">
        <v>80.66125267102359</v>
      </c>
      <c r="M153" s="5">
        <v>-14.881688676439399</v>
      </c>
      <c r="N153" s="5">
        <v>83.721584877674502</v>
      </c>
      <c r="O153" s="5">
        <v>60</v>
      </c>
      <c r="P153" s="5">
        <v>6.4695071361558201</v>
      </c>
      <c r="Q153" s="5">
        <v>-58.372078479729097</v>
      </c>
      <c r="R153" s="5">
        <v>16</v>
      </c>
      <c r="S153" s="5">
        <v>0.131713992473486</v>
      </c>
      <c r="U153" s="3">
        <f t="shared" si="22"/>
        <v>-3.0452857143372491</v>
      </c>
      <c r="V153" s="2">
        <f t="shared" si="23"/>
        <v>1.4625572858609863</v>
      </c>
      <c r="W153" s="5">
        <f t="shared" si="24"/>
        <v>-2.6740023382724596</v>
      </c>
      <c r="X153" s="5">
        <f t="shared" si="25"/>
        <v>4.6880262221077003E-2</v>
      </c>
      <c r="Y153" s="5">
        <f t="shared" si="26"/>
        <v>0.85143211810470165</v>
      </c>
      <c r="Z153" s="5">
        <f t="shared" si="27"/>
        <v>-1.4876979200808007</v>
      </c>
      <c r="AA153" s="5">
        <f t="shared" si="28"/>
        <v>2.3177767191984313</v>
      </c>
      <c r="AB153" s="5">
        <f t="shared" si="29"/>
        <v>-0.71048001096726832</v>
      </c>
      <c r="AC153" s="5">
        <f t="shared" si="30"/>
        <v>-0.27084682001068261</v>
      </c>
      <c r="AD153" s="5">
        <f t="shared" si="31"/>
        <v>1.0343948657466384</v>
      </c>
      <c r="AE153" s="5">
        <f t="shared" si="32"/>
        <v>0.61835740816282658</v>
      </c>
    </row>
    <row r="154" spans="1:31" ht="16" x14ac:dyDescent="0.2">
      <c r="A154" s="5" t="s">
        <v>179</v>
      </c>
      <c r="D154" s="5">
        <v>155</v>
      </c>
      <c r="E154" s="5" t="s">
        <v>58</v>
      </c>
      <c r="F154" s="9" t="s">
        <v>135</v>
      </c>
      <c r="G154" s="5">
        <v>32.623422087057399</v>
      </c>
      <c r="H154" s="5">
        <v>-5.9519117072927941</v>
      </c>
      <c r="I154" s="5">
        <v>74.415316517737395</v>
      </c>
      <c r="J154" s="5">
        <v>-41.791894430679903</v>
      </c>
      <c r="K154" s="5">
        <v>1.29183697106488</v>
      </c>
      <c r="L154" s="5">
        <v>120.198794511022</v>
      </c>
      <c r="M154" s="5">
        <v>-43.468831222491204</v>
      </c>
      <c r="N154" s="5">
        <v>87.381745770898604</v>
      </c>
      <c r="O154" s="5">
        <v>19</v>
      </c>
      <c r="P154" s="5">
        <v>16.586854182093699</v>
      </c>
      <c r="Q154" s="5">
        <v>-63.073099674786597</v>
      </c>
      <c r="R154" s="5">
        <v>20</v>
      </c>
      <c r="S154" s="5">
        <v>9.1708542713567098E-2</v>
      </c>
      <c r="U154" s="3">
        <f t="shared" si="22"/>
        <v>-1.0852858782210342</v>
      </c>
      <c r="V154" s="2">
        <f t="shared" si="23"/>
        <v>0.47183159567402033</v>
      </c>
      <c r="W154" s="5">
        <f t="shared" si="24"/>
        <v>-0.97529448656180273</v>
      </c>
      <c r="X154" s="5">
        <f t="shared" si="25"/>
        <v>5.1926195512509529E-2</v>
      </c>
      <c r="Y154" s="5">
        <f t="shared" si="26"/>
        <v>-1.3580008394724137</v>
      </c>
      <c r="Z154" s="5">
        <f t="shared" si="27"/>
        <v>-0.77017888160832526</v>
      </c>
      <c r="AA154" s="5">
        <f t="shared" si="28"/>
        <v>-0.57329523007622663</v>
      </c>
      <c r="AB154" s="5">
        <f t="shared" si="29"/>
        <v>-1.2904363698511008</v>
      </c>
      <c r="AC154" s="5">
        <f t="shared" si="30"/>
        <v>1.5134279049995703</v>
      </c>
      <c r="AD154" s="5">
        <f t="shared" si="31"/>
        <v>0.23964724065490048</v>
      </c>
      <c r="AE154" s="5">
        <f t="shared" si="32"/>
        <v>1.3015553629616528</v>
      </c>
    </row>
    <row r="155" spans="1:31" ht="16" x14ac:dyDescent="0.2">
      <c r="A155" s="5" t="s">
        <v>180</v>
      </c>
      <c r="D155" s="3">
        <v>156</v>
      </c>
      <c r="E155" s="5" t="s">
        <v>58</v>
      </c>
      <c r="F155" s="9" t="s">
        <v>135</v>
      </c>
      <c r="G155" s="5">
        <v>25.480898388693699</v>
      </c>
      <c r="H155" s="5">
        <v>-7.8920377256040055</v>
      </c>
      <c r="I155" s="5">
        <v>67.476903950072099</v>
      </c>
      <c r="J155" s="5">
        <v>-41.996005561378396</v>
      </c>
      <c r="K155" s="5">
        <v>1.4823394289707801</v>
      </c>
      <c r="L155" s="5">
        <v>100.9329465895116</v>
      </c>
      <c r="M155" s="5">
        <v>-37.731884342900884</v>
      </c>
      <c r="N155" s="5">
        <v>116.467121566122</v>
      </c>
      <c r="O155" s="5">
        <v>19</v>
      </c>
      <c r="P155" s="5">
        <v>16.3343111460924</v>
      </c>
      <c r="Q155" s="5">
        <v>-65.882588763651</v>
      </c>
      <c r="R155" s="5">
        <v>27</v>
      </c>
      <c r="S155" s="5">
        <v>0.86524822695035397</v>
      </c>
      <c r="U155" s="3">
        <f t="shared" si="22"/>
        <v>-1.7481964164942441</v>
      </c>
      <c r="V155" s="2">
        <f t="shared" si="23"/>
        <v>9.7134040158935467E-2</v>
      </c>
      <c r="W155" s="5">
        <f t="shared" si="24"/>
        <v>-1.5344634862975142</v>
      </c>
      <c r="X155" s="5">
        <f t="shared" si="25"/>
        <v>2.5979216986598518E-2</v>
      </c>
      <c r="Y155" s="5">
        <f t="shared" si="26"/>
        <v>-0.88772280809922532</v>
      </c>
      <c r="Z155" s="5">
        <f t="shared" si="27"/>
        <v>-1.1198114594742141</v>
      </c>
      <c r="AA155" s="5">
        <f t="shared" si="28"/>
        <v>6.8930895973341134E-3</v>
      </c>
      <c r="AB155" s="5">
        <f t="shared" si="29"/>
        <v>-1.2904363698511008</v>
      </c>
      <c r="AC155" s="5">
        <f t="shared" si="30"/>
        <v>1.4688899293752793</v>
      </c>
      <c r="AD155" s="5">
        <f t="shared" si="31"/>
        <v>-0.23532079042814685</v>
      </c>
      <c r="AE155" s="5">
        <f t="shared" si="32"/>
        <v>2.4971517838595987</v>
      </c>
    </row>
    <row r="156" spans="1:31" ht="16" x14ac:dyDescent="0.2">
      <c r="A156" s="5" t="s">
        <v>181</v>
      </c>
      <c r="D156" s="3">
        <v>157</v>
      </c>
      <c r="E156" s="5" t="s">
        <v>58</v>
      </c>
      <c r="F156" s="9" t="s">
        <v>135</v>
      </c>
      <c r="G156" s="5">
        <v>21.567764920568301</v>
      </c>
      <c r="H156" s="5">
        <v>-8.549707122602797</v>
      </c>
      <c r="I156" s="5">
        <v>57.118606704247803</v>
      </c>
      <c r="J156" s="5">
        <v>-35.550841783679502</v>
      </c>
      <c r="K156" s="5">
        <v>2.0566021171548301</v>
      </c>
      <c r="L156" s="5">
        <v>86.541587943363595</v>
      </c>
      <c r="M156" s="5">
        <v>-21.651718079434403</v>
      </c>
      <c r="N156" s="5">
        <v>260.975945606381</v>
      </c>
      <c r="O156" s="5">
        <v>60</v>
      </c>
      <c r="P156" s="5">
        <v>-2.3033281323411501</v>
      </c>
      <c r="Q156" s="5">
        <v>-61.218434418343101</v>
      </c>
      <c r="R156" s="5">
        <v>22</v>
      </c>
      <c r="S156" s="5">
        <v>4.1050035236081903E-2</v>
      </c>
      <c r="U156" s="3">
        <f t="shared" si="22"/>
        <v>-2.1113814086958382</v>
      </c>
      <c r="V156" s="2">
        <f t="shared" si="23"/>
        <v>-2.9881995431902217E-2</v>
      </c>
      <c r="W156" s="5">
        <f t="shared" si="24"/>
        <v>-2.3692421411306195</v>
      </c>
      <c r="X156" s="5">
        <f t="shared" si="25"/>
        <v>0.84530017005585389</v>
      </c>
      <c r="Y156" s="5">
        <f t="shared" si="26"/>
        <v>0.52991310830280658</v>
      </c>
      <c r="Z156" s="5">
        <f t="shared" si="27"/>
        <v>-1.3809828256629493</v>
      </c>
      <c r="AA156" s="5">
        <f t="shared" si="28"/>
        <v>1.6331108044000771</v>
      </c>
      <c r="AB156" s="5">
        <f t="shared" si="29"/>
        <v>-0.71048001096726832</v>
      </c>
      <c r="AC156" s="5">
        <f t="shared" si="30"/>
        <v>-1.8180061855226552</v>
      </c>
      <c r="AD156" s="5">
        <f t="shared" si="31"/>
        <v>0.55319418008336629</v>
      </c>
      <c r="AE156" s="5">
        <f t="shared" si="32"/>
        <v>1.643154340361066</v>
      </c>
    </row>
    <row r="157" spans="1:31" ht="16" x14ac:dyDescent="0.2">
      <c r="A157" s="5" t="s">
        <v>182</v>
      </c>
      <c r="D157" s="3">
        <v>158</v>
      </c>
      <c r="E157" s="5" t="s">
        <v>58</v>
      </c>
      <c r="F157" s="9" t="s">
        <v>135</v>
      </c>
      <c r="G157" s="5">
        <v>46.230369329164098</v>
      </c>
      <c r="H157" s="5">
        <v>-10.128114675264698</v>
      </c>
      <c r="I157" s="5">
        <v>82.0442790158246</v>
      </c>
      <c r="J157" s="5">
        <v>-35.813909686660601</v>
      </c>
      <c r="K157" s="5">
        <v>2.0479351836694901</v>
      </c>
      <c r="L157" s="5">
        <v>147.01107207295999</v>
      </c>
      <c r="M157" s="5">
        <v>-21.292936979734321</v>
      </c>
      <c r="N157" s="5">
        <v>226.433216101032</v>
      </c>
      <c r="O157" s="5">
        <v>79</v>
      </c>
      <c r="P157" s="5">
        <v>4.3072389160579396</v>
      </c>
      <c r="Q157" s="5">
        <v>-56.508256843165398</v>
      </c>
      <c r="R157" s="5">
        <v>20</v>
      </c>
      <c r="S157" s="5">
        <v>0.42462845010615702</v>
      </c>
      <c r="U157" s="3">
        <f t="shared" si="22"/>
        <v>0.17759949695617136</v>
      </c>
      <c r="V157" s="2">
        <f t="shared" si="23"/>
        <v>-0.33472067395432614</v>
      </c>
      <c r="W157" s="5">
        <f t="shared" si="24"/>
        <v>-0.36047383594832949</v>
      </c>
      <c r="X157" s="5">
        <f t="shared" si="25"/>
        <v>0.81185849930449294</v>
      </c>
      <c r="Y157" s="5">
        <f t="shared" si="26"/>
        <v>0.50851774961645635</v>
      </c>
      <c r="Z157" s="5">
        <f t="shared" si="27"/>
        <v>-0.28359527726203021</v>
      </c>
      <c r="AA157" s="5">
        <f t="shared" si="28"/>
        <v>1.6693950175424668</v>
      </c>
      <c r="AB157" s="5">
        <f t="shared" si="29"/>
        <v>-0.44171974709427275</v>
      </c>
      <c r="AC157" s="5">
        <f t="shared" si="30"/>
        <v>-0.65218004069550395</v>
      </c>
      <c r="AD157" s="5">
        <f t="shared" si="31"/>
        <v>1.3494897691286849</v>
      </c>
      <c r="AE157" s="5">
        <f t="shared" si="32"/>
        <v>1.3015553629616528</v>
      </c>
    </row>
    <row r="158" spans="1:31" ht="16" x14ac:dyDescent="0.2">
      <c r="A158" s="5" t="s">
        <v>183</v>
      </c>
      <c r="D158" s="5">
        <v>159</v>
      </c>
      <c r="E158" s="5" t="s">
        <v>58</v>
      </c>
      <c r="F158" s="9" t="s">
        <v>135</v>
      </c>
      <c r="G158" s="5">
        <v>40.278461113431703</v>
      </c>
      <c r="H158" s="5">
        <v>-17.461132549776899</v>
      </c>
      <c r="I158" s="5">
        <v>70.798129354535703</v>
      </c>
      <c r="J158" s="5">
        <v>-30.519668241104</v>
      </c>
      <c r="K158" s="5">
        <v>2.2656402866453802</v>
      </c>
      <c r="L158" s="5">
        <v>101.80032991235279</v>
      </c>
      <c r="M158" s="5">
        <v>-16.498653943819519</v>
      </c>
      <c r="N158" s="5">
        <v>249.54429452177999</v>
      </c>
      <c r="O158" s="5">
        <v>19</v>
      </c>
      <c r="P158" s="5">
        <v>7.2079826980288901</v>
      </c>
      <c r="Q158" s="5">
        <v>-50.633096335147997</v>
      </c>
      <c r="R158" s="5">
        <v>17</v>
      </c>
      <c r="S158" s="5">
        <v>0.53645066273932296</v>
      </c>
      <c r="U158" s="3">
        <f t="shared" si="22"/>
        <v>-0.37480786571702596</v>
      </c>
      <c r="V158" s="2">
        <f t="shared" si="23"/>
        <v>-1.7509502622363582</v>
      </c>
      <c r="W158" s="5">
        <f t="shared" si="24"/>
        <v>-1.2668048152110742</v>
      </c>
      <c r="X158" s="5">
        <f t="shared" si="25"/>
        <v>1.4848721102170865</v>
      </c>
      <c r="Y158" s="5">
        <f t="shared" si="26"/>
        <v>1.0459487537768912</v>
      </c>
      <c r="Z158" s="5">
        <f t="shared" si="27"/>
        <v>-1.1040703683788022</v>
      </c>
      <c r="AA158" s="5">
        <f t="shared" si="28"/>
        <v>2.1542499546768163</v>
      </c>
      <c r="AB158" s="5">
        <f t="shared" si="29"/>
        <v>-1.2904363698511008</v>
      </c>
      <c r="AC158" s="5">
        <f t="shared" si="30"/>
        <v>-0.14061077353475407</v>
      </c>
      <c r="AD158" s="5">
        <f t="shared" si="31"/>
        <v>2.3427356335993061</v>
      </c>
      <c r="AE158" s="5">
        <f t="shared" si="32"/>
        <v>0.7891568968625331</v>
      </c>
    </row>
    <row r="159" spans="1:31" ht="16" x14ac:dyDescent="0.2">
      <c r="A159" s="5" t="s">
        <v>184</v>
      </c>
      <c r="D159" s="3">
        <v>160</v>
      </c>
      <c r="E159" s="5" t="s">
        <v>58</v>
      </c>
      <c r="F159" s="9" t="s">
        <v>135</v>
      </c>
      <c r="G159" s="5">
        <v>51.261540213926096</v>
      </c>
      <c r="H159" s="5">
        <v>-2.2689608058452961</v>
      </c>
      <c r="I159" s="5">
        <v>93.849448587517998</v>
      </c>
      <c r="J159" s="5">
        <v>-42.587908373591901</v>
      </c>
      <c r="K159" s="5">
        <v>1.6623709729546301</v>
      </c>
      <c r="L159" s="5">
        <v>186.92992573319242</v>
      </c>
      <c r="M159" s="5">
        <v>-45.865876978139603</v>
      </c>
      <c r="N159" s="5">
        <v>96.204045211882502</v>
      </c>
      <c r="O159" s="5">
        <v>79</v>
      </c>
      <c r="P159" s="5">
        <v>2.60344261824708</v>
      </c>
      <c r="Q159" s="5">
        <v>-60.980945719311599</v>
      </c>
      <c r="R159" s="5">
        <v>20</v>
      </c>
      <c r="S159" s="5">
        <v>0.138839625031669</v>
      </c>
      <c r="U159" s="3">
        <f t="shared" si="22"/>
        <v>0.64455156323019047</v>
      </c>
      <c r="V159" s="2">
        <f t="shared" si="23"/>
        <v>1.1831218349831527</v>
      </c>
      <c r="W159" s="5">
        <f t="shared" si="24"/>
        <v>0.59090874569245233</v>
      </c>
      <c r="X159" s="5">
        <f t="shared" si="25"/>
        <v>-4.9264546081946019E-2</v>
      </c>
      <c r="Y159" s="5">
        <f t="shared" si="26"/>
        <v>-0.44329347621301252</v>
      </c>
      <c r="Z159" s="5">
        <f t="shared" si="27"/>
        <v>0.44084372835761149</v>
      </c>
      <c r="AA159" s="5">
        <f t="shared" si="28"/>
        <v>-0.81571301401945173</v>
      </c>
      <c r="AB159" s="5">
        <f t="shared" si="29"/>
        <v>-0.44171974709427275</v>
      </c>
      <c r="AC159" s="5">
        <f t="shared" si="30"/>
        <v>-0.95265808666413931</v>
      </c>
      <c r="AD159" s="5">
        <f t="shared" si="31"/>
        <v>0.59334366499525126</v>
      </c>
      <c r="AE159" s="5">
        <f t="shared" si="32"/>
        <v>1.3015553629616528</v>
      </c>
    </row>
    <row r="160" spans="1:31" ht="16" x14ac:dyDescent="0.2">
      <c r="A160" s="5" t="s">
        <v>185</v>
      </c>
      <c r="D160" s="3">
        <v>161</v>
      </c>
      <c r="E160" s="5" t="s">
        <v>58</v>
      </c>
      <c r="F160" s="9" t="s">
        <v>135</v>
      </c>
      <c r="G160" s="5">
        <v>50.702521233321498</v>
      </c>
      <c r="H160" s="5">
        <v>-5.8532613715767994</v>
      </c>
      <c r="I160" s="5">
        <v>94.967487589902603</v>
      </c>
      <c r="J160" s="5">
        <v>-44.264966356581198</v>
      </c>
      <c r="K160" s="5">
        <v>1.77039292552129</v>
      </c>
      <c r="L160" s="5">
        <v>164.28585886691121</v>
      </c>
      <c r="M160" s="5">
        <v>-49.437163114923202</v>
      </c>
      <c r="N160" s="5">
        <v>138.95512946117199</v>
      </c>
      <c r="O160" s="5">
        <v>39</v>
      </c>
      <c r="P160" s="5">
        <v>11.8867107283672</v>
      </c>
      <c r="Q160" s="5">
        <v>-57.566825653559498</v>
      </c>
      <c r="R160" s="5">
        <v>22</v>
      </c>
      <c r="S160" s="5">
        <v>0.19638351555929301</v>
      </c>
      <c r="U160" s="3">
        <f t="shared" si="22"/>
        <v>0.59266800092259431</v>
      </c>
      <c r="V160" s="2">
        <f t="shared" si="23"/>
        <v>0.49088398675308081</v>
      </c>
      <c r="W160" s="5">
        <f t="shared" si="24"/>
        <v>0.68101188449142935</v>
      </c>
      <c r="X160" s="5">
        <f t="shared" si="25"/>
        <v>-0.2624552100228037</v>
      </c>
      <c r="Y160" s="5">
        <f t="shared" si="26"/>
        <v>-0.1766284066041473</v>
      </c>
      <c r="Z160" s="5">
        <f t="shared" si="27"/>
        <v>2.990393977005714E-2</v>
      </c>
      <c r="AA160" s="5">
        <f t="shared" si="28"/>
        <v>-1.1768839549855152</v>
      </c>
      <c r="AB160" s="5">
        <f t="shared" si="29"/>
        <v>-1.0075308289321581</v>
      </c>
      <c r="AC160" s="5">
        <f t="shared" si="30"/>
        <v>0.68452017550009514</v>
      </c>
      <c r="AD160" s="5">
        <f t="shared" si="31"/>
        <v>1.1705297063786155</v>
      </c>
      <c r="AE160" s="5">
        <f t="shared" si="32"/>
        <v>1.643154340361066</v>
      </c>
    </row>
    <row r="161" spans="1:31" ht="16" x14ac:dyDescent="0.2">
      <c r="A161" s="5" t="s">
        <v>186</v>
      </c>
      <c r="D161" s="3">
        <v>162</v>
      </c>
      <c r="E161" s="5" t="s">
        <v>58</v>
      </c>
      <c r="F161" s="9" t="s">
        <v>135</v>
      </c>
      <c r="G161" s="5">
        <v>23.5078899288768</v>
      </c>
      <c r="H161" s="5">
        <v>-5.0969406754289039</v>
      </c>
      <c r="I161" s="5">
        <v>58.039343593532799</v>
      </c>
      <c r="J161" s="5">
        <v>-34.531453664655999</v>
      </c>
      <c r="K161" s="5">
        <v>1.2119954432392599</v>
      </c>
      <c r="L161" s="5">
        <v>31.096335212005719</v>
      </c>
      <c r="M161" s="5">
        <v>-20.888372568735242</v>
      </c>
      <c r="N161" s="5">
        <v>175.044234376666</v>
      </c>
      <c r="O161" s="5">
        <v>180</v>
      </c>
      <c r="P161" s="5">
        <v>0.95096574650731203</v>
      </c>
      <c r="Q161" s="5">
        <v>-63.904989711628097</v>
      </c>
      <c r="R161" s="5">
        <v>2</v>
      </c>
      <c r="S161" s="12" t="s">
        <v>53</v>
      </c>
      <c r="U161" s="3">
        <f t="shared" si="22"/>
        <v>-1.931314898889263</v>
      </c>
      <c r="V161" s="2">
        <f t="shared" si="23"/>
        <v>0.63695259949132077</v>
      </c>
      <c r="W161" s="5">
        <f t="shared" si="24"/>
        <v>-2.2950396459085023</v>
      </c>
      <c r="X161" s="5">
        <f t="shared" si="25"/>
        <v>0.97488664357817678</v>
      </c>
      <c r="Y161" s="5">
        <f t="shared" si="26"/>
        <v>-1.5550991705931976</v>
      </c>
      <c r="Z161" s="5">
        <f t="shared" si="27"/>
        <v>-2.3871916736652432</v>
      </c>
      <c r="AA161" s="5">
        <f t="shared" si="28"/>
        <v>1.710309383797509</v>
      </c>
      <c r="AB161" s="5">
        <f t="shared" si="29"/>
        <v>0.98695323454638761</v>
      </c>
      <c r="AC161" s="5">
        <f t="shared" si="30"/>
        <v>-1.2440855431427713</v>
      </c>
      <c r="AD161" s="5">
        <f t="shared" si="31"/>
        <v>9.9009152953367818E-2</v>
      </c>
      <c r="AE161" s="5">
        <f t="shared" si="32"/>
        <v>-1.7728354336330654</v>
      </c>
    </row>
    <row r="162" spans="1:31" ht="16" x14ac:dyDescent="0.2">
      <c r="A162" s="5" t="s">
        <v>187</v>
      </c>
      <c r="D162" s="5">
        <v>163</v>
      </c>
      <c r="E162" s="5" t="s">
        <v>58</v>
      </c>
      <c r="F162" s="9" t="s">
        <v>135</v>
      </c>
      <c r="G162" s="5">
        <v>20.8772119460086</v>
      </c>
      <c r="H162" s="5">
        <v>-6.7082317162685996</v>
      </c>
      <c r="I162" s="5">
        <v>56.855539072303102</v>
      </c>
      <c r="J162" s="5">
        <v>-35.978327126294502</v>
      </c>
      <c r="K162" s="5">
        <v>2.5553525384525102</v>
      </c>
      <c r="L162" s="5">
        <v>34.680042335404998</v>
      </c>
      <c r="M162" s="5">
        <v>-22.371375143674559</v>
      </c>
      <c r="N162" s="5">
        <v>222.87219561593699</v>
      </c>
      <c r="O162" s="5">
        <v>140</v>
      </c>
      <c r="P162" s="5">
        <v>5.1126470200844896</v>
      </c>
      <c r="Q162" s="5">
        <v>-60.4474322194324</v>
      </c>
      <c r="R162" s="5">
        <v>2</v>
      </c>
      <c r="S162" s="12" t="s">
        <v>53</v>
      </c>
      <c r="U162" s="3">
        <f t="shared" si="22"/>
        <v>-2.1754728787985429</v>
      </c>
      <c r="V162" s="2">
        <f t="shared" si="23"/>
        <v>0.32576311564968657</v>
      </c>
      <c r="W162" s="5">
        <f t="shared" si="24"/>
        <v>-2.3904428499646371</v>
      </c>
      <c r="X162" s="5">
        <f t="shared" si="25"/>
        <v>0.79095745505047854</v>
      </c>
      <c r="Y162" s="5">
        <f t="shared" si="26"/>
        <v>1.7611379904000206</v>
      </c>
      <c r="Z162" s="5">
        <f t="shared" si="27"/>
        <v>-2.3221553064638036</v>
      </c>
      <c r="AA162" s="5">
        <f t="shared" si="28"/>
        <v>1.5603305204605262</v>
      </c>
      <c r="AB162" s="5">
        <f t="shared" si="29"/>
        <v>0.4211421527085023</v>
      </c>
      <c r="AC162" s="5">
        <f t="shared" si="30"/>
        <v>-0.51013990736727288</v>
      </c>
      <c r="AD162" s="5">
        <f t="shared" si="31"/>
        <v>0.68353866080364356</v>
      </c>
      <c r="AE162" s="5">
        <f t="shared" si="32"/>
        <v>-1.7728354336330654</v>
      </c>
    </row>
    <row r="163" spans="1:31" ht="16" x14ac:dyDescent="0.2">
      <c r="A163" s="5" t="s">
        <v>188</v>
      </c>
      <c r="D163" s="3">
        <v>164</v>
      </c>
      <c r="E163" s="5" t="s">
        <v>58</v>
      </c>
      <c r="F163" s="9" t="s">
        <v>135</v>
      </c>
      <c r="G163" s="5">
        <v>46.822271793170998</v>
      </c>
      <c r="H163" s="5">
        <v>-12.923211103994198</v>
      </c>
      <c r="I163" s="5">
        <v>79.709551089087697</v>
      </c>
      <c r="J163" s="5">
        <v>-32.887279295916699</v>
      </c>
      <c r="K163" s="5">
        <v>1.9307199783112701</v>
      </c>
      <c r="L163" s="5">
        <v>111.91343822889679</v>
      </c>
      <c r="M163" s="5">
        <v>-43.435422182954397</v>
      </c>
      <c r="N163" s="5">
        <v>78.254632446616796</v>
      </c>
      <c r="O163" s="5">
        <v>120</v>
      </c>
      <c r="P163" s="5">
        <v>4.3525815367402396</v>
      </c>
      <c r="Q163" s="5">
        <v>-63.335447409533202</v>
      </c>
      <c r="R163" s="5">
        <v>11</v>
      </c>
      <c r="S163" s="5">
        <v>0.37116912599318902</v>
      </c>
      <c r="U163" s="3">
        <f t="shared" si="22"/>
        <v>0.23253503481234175</v>
      </c>
      <c r="V163" s="2">
        <f t="shared" si="23"/>
        <v>-0.8745391132665965</v>
      </c>
      <c r="W163" s="5">
        <f t="shared" si="24"/>
        <v>-0.54863034389835985</v>
      </c>
      <c r="X163" s="5">
        <f t="shared" si="25"/>
        <v>1.1838970826097943</v>
      </c>
      <c r="Y163" s="5">
        <f t="shared" si="26"/>
        <v>0.21915803935961312</v>
      </c>
      <c r="Z163" s="5">
        <f t="shared" si="27"/>
        <v>-0.92053979420654264</v>
      </c>
      <c r="AA163" s="5">
        <f t="shared" si="28"/>
        <v>-0.56991651053818704</v>
      </c>
      <c r="AB163" s="5">
        <f t="shared" si="29"/>
        <v>0.13823661178955968</v>
      </c>
      <c r="AC163" s="5">
        <f t="shared" si="30"/>
        <v>-0.64418350843444661</v>
      </c>
      <c r="AD163" s="5">
        <f t="shared" si="31"/>
        <v>0.19529512427702245</v>
      </c>
      <c r="AE163" s="5">
        <f t="shared" si="32"/>
        <v>-0.23564003533570632</v>
      </c>
    </row>
    <row r="164" spans="1:31" ht="16" x14ac:dyDescent="0.2"/>
    <row r="165" spans="1:31" ht="16" x14ac:dyDescent="0.2"/>
  </sheetData>
  <conditionalFormatting sqref="N2:N337">
    <cfRule type="cellIs" dxfId="14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C43CA-CE48-436D-B793-0D46FAC917B5}">
  <dimension ref="A1:AV22"/>
  <sheetViews>
    <sheetView workbookViewId="0">
      <selection activeCell="R28" sqref="R28"/>
    </sheetView>
  </sheetViews>
  <sheetFormatPr baseColWidth="10" defaultColWidth="8.83203125" defaultRowHeight="15" x14ac:dyDescent="0.2"/>
  <cols>
    <col min="6" max="6" width="9.1640625" style="1"/>
    <col min="14" max="14" width="9.33203125" bestFit="1" customWidth="1"/>
  </cols>
  <sheetData>
    <row r="1" spans="1:48" ht="1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189</v>
      </c>
      <c r="U1" s="3"/>
      <c r="V1" s="3"/>
      <c r="W1" s="3" t="s">
        <v>190</v>
      </c>
      <c r="X1" s="3" t="s">
        <v>191</v>
      </c>
      <c r="Y1" s="3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</row>
    <row r="2" spans="1:48" x14ac:dyDescent="0.2">
      <c r="A2" s="6" t="s">
        <v>192</v>
      </c>
      <c r="D2" t="s">
        <v>193</v>
      </c>
      <c r="F2"/>
      <c r="G2" s="7">
        <v>45.967301566780399</v>
      </c>
      <c r="H2">
        <v>-49.230373457418601</v>
      </c>
      <c r="I2">
        <v>79.051881785855201</v>
      </c>
      <c r="J2">
        <v>-33.084580219074802</v>
      </c>
      <c r="K2">
        <v>1.8855243422569401</v>
      </c>
      <c r="L2">
        <v>3.1855869398151002</v>
      </c>
      <c r="M2">
        <v>-0.95555521010429001</v>
      </c>
      <c r="N2">
        <v>61.173084022195397</v>
      </c>
      <c r="O2">
        <v>180</v>
      </c>
      <c r="P2">
        <v>8.4826790381108097</v>
      </c>
      <c r="Q2">
        <v>-62.407730484198197</v>
      </c>
      <c r="R2">
        <v>8</v>
      </c>
      <c r="S2">
        <v>0.33761904761904798</v>
      </c>
      <c r="T2" s="8" t="s">
        <v>194</v>
      </c>
      <c r="W2">
        <f t="shared" ref="W2:W3" si="0">H2-J2</f>
        <v>-16.145793238343799</v>
      </c>
      <c r="X2" t="s">
        <v>195</v>
      </c>
    </row>
    <row r="3" spans="1:48" x14ac:dyDescent="0.2">
      <c r="A3" s="6" t="s">
        <v>196</v>
      </c>
      <c r="D3">
        <v>7</v>
      </c>
      <c r="F3"/>
      <c r="G3" s="7">
        <v>32.287777398458999</v>
      </c>
      <c r="H3">
        <v>-11.6445482596025</v>
      </c>
      <c r="I3" s="10">
        <v>27.720769906668899</v>
      </c>
      <c r="J3" s="11">
        <v>4.5670074917901298</v>
      </c>
      <c r="K3">
        <v>7.4999999999999997E-2</v>
      </c>
      <c r="L3">
        <v>0.53111796964106694</v>
      </c>
      <c r="M3">
        <v>-0.24227385033304999</v>
      </c>
      <c r="N3">
        <v>167.691730997646</v>
      </c>
      <c r="O3">
        <v>219</v>
      </c>
      <c r="P3">
        <v>2.9773060656953798</v>
      </c>
      <c r="Q3">
        <v>-71.234185966090195</v>
      </c>
      <c r="R3">
        <v>7</v>
      </c>
      <c r="S3">
        <v>0.60730186999109603</v>
      </c>
      <c r="T3" s="8"/>
      <c r="U3" t="s">
        <v>197</v>
      </c>
      <c r="W3">
        <f t="shared" si="0"/>
        <v>-16.21155575139263</v>
      </c>
      <c r="X3" t="s">
        <v>198</v>
      </c>
    </row>
    <row r="4" spans="1:48" x14ac:dyDescent="0.2">
      <c r="A4" t="s">
        <v>199</v>
      </c>
      <c r="D4">
        <v>9</v>
      </c>
      <c r="G4">
        <v>47.447057725368502</v>
      </c>
      <c r="H4">
        <v>-45.876257380900803</v>
      </c>
      <c r="I4">
        <v>80.794705842449403</v>
      </c>
      <c r="J4">
        <v>-33.347648117080901</v>
      </c>
      <c r="K4">
        <v>1.54065618374379</v>
      </c>
      <c r="L4">
        <v>3.6314320984384301</v>
      </c>
      <c r="M4">
        <v>-1.0351445219111</v>
      </c>
      <c r="N4">
        <v>91.488603027279197</v>
      </c>
      <c r="O4">
        <v>180</v>
      </c>
      <c r="P4">
        <v>4.7046428126426401</v>
      </c>
      <c r="Q4">
        <v>-62.328473118147301</v>
      </c>
      <c r="R4">
        <v>9</v>
      </c>
      <c r="S4">
        <v>1.0712190719711201</v>
      </c>
      <c r="T4" t="s">
        <v>194</v>
      </c>
      <c r="W4">
        <v>-12.528609263819902</v>
      </c>
      <c r="X4" t="s">
        <v>200</v>
      </c>
    </row>
    <row r="5" spans="1:48" x14ac:dyDescent="0.2">
      <c r="A5" t="s">
        <v>201</v>
      </c>
      <c r="D5">
        <v>14</v>
      </c>
      <c r="G5" t="s">
        <v>53</v>
      </c>
      <c r="H5" t="s">
        <v>53</v>
      </c>
      <c r="I5">
        <v>93.6192641198529</v>
      </c>
      <c r="J5" t="s">
        <v>53</v>
      </c>
      <c r="K5">
        <v>1.34492876455927</v>
      </c>
      <c r="L5">
        <v>6.4451616943025698</v>
      </c>
      <c r="M5">
        <v>-1.4111123067095299</v>
      </c>
      <c r="N5">
        <v>112.85635982797299</v>
      </c>
      <c r="O5">
        <v>79</v>
      </c>
      <c r="P5">
        <v>10.2853478728747</v>
      </c>
      <c r="Q5">
        <v>-61.466836770635403</v>
      </c>
      <c r="R5">
        <v>18</v>
      </c>
      <c r="S5">
        <v>0.34517766497461899</v>
      </c>
      <c r="W5" t="e">
        <v>#VALUE!</v>
      </c>
      <c r="X5" t="s">
        <v>202</v>
      </c>
    </row>
    <row r="6" spans="1:48" x14ac:dyDescent="0.2">
      <c r="A6" t="s">
        <v>203</v>
      </c>
      <c r="D6" t="s">
        <v>193</v>
      </c>
      <c r="G6" t="s">
        <v>53</v>
      </c>
      <c r="H6" t="s">
        <v>53</v>
      </c>
      <c r="I6">
        <v>93.652148175820201</v>
      </c>
      <c r="J6" t="s">
        <v>53</v>
      </c>
      <c r="K6">
        <v>1.33175455020655</v>
      </c>
      <c r="L6">
        <v>6.3284254856059396</v>
      </c>
      <c r="M6">
        <v>-1.3333468114164599</v>
      </c>
      <c r="N6">
        <v>109.36626148473501</v>
      </c>
      <c r="O6">
        <v>60</v>
      </c>
      <c r="P6">
        <v>7.9976706278910203</v>
      </c>
      <c r="Q6">
        <v>-63.5592422448386</v>
      </c>
      <c r="R6">
        <v>21</v>
      </c>
      <c r="S6">
        <v>0.18403862539051399</v>
      </c>
      <c r="W6">
        <v>-11.706529999999999</v>
      </c>
      <c r="X6" t="s">
        <v>204</v>
      </c>
    </row>
    <row r="7" spans="1:48" x14ac:dyDescent="0.2">
      <c r="A7" t="s">
        <v>205</v>
      </c>
      <c r="D7">
        <v>18</v>
      </c>
      <c r="G7" t="s">
        <v>53</v>
      </c>
      <c r="H7" t="s">
        <v>53</v>
      </c>
      <c r="I7">
        <v>91.876439184741002</v>
      </c>
      <c r="J7" t="s">
        <v>53</v>
      </c>
      <c r="K7">
        <v>1.6535372947512199</v>
      </c>
      <c r="L7">
        <v>5.0804973540712499</v>
      </c>
      <c r="M7">
        <v>-1.1009388886412701</v>
      </c>
      <c r="N7">
        <v>81.3938529880554</v>
      </c>
      <c r="O7">
        <v>159</v>
      </c>
      <c r="P7">
        <v>2.7278706023978798</v>
      </c>
      <c r="Q7">
        <v>-59.905795580312898</v>
      </c>
      <c r="R7">
        <v>7</v>
      </c>
      <c r="S7">
        <v>0.42057761732852</v>
      </c>
      <c r="W7" t="e">
        <v>#VALUE!</v>
      </c>
      <c r="X7" t="s">
        <v>206</v>
      </c>
    </row>
    <row r="8" spans="1:48" x14ac:dyDescent="0.2">
      <c r="A8" t="s">
        <v>207</v>
      </c>
      <c r="D8" t="s">
        <v>193</v>
      </c>
      <c r="G8">
        <v>42.2357490087849</v>
      </c>
      <c r="H8">
        <v>-44.0176186774504</v>
      </c>
      <c r="I8">
        <v>76.782922931693804</v>
      </c>
      <c r="J8">
        <v>-34.547173922908897</v>
      </c>
      <c r="K8">
        <v>2.2933130004856301</v>
      </c>
      <c r="L8">
        <v>2.70192587921672</v>
      </c>
      <c r="M8">
        <v>-0.73140052497025099</v>
      </c>
      <c r="N8">
        <v>160.003741258443</v>
      </c>
      <c r="O8">
        <v>120</v>
      </c>
      <c r="P8">
        <v>5.7017614635411196</v>
      </c>
      <c r="Q8">
        <v>-59.053028756473999</v>
      </c>
      <c r="R8">
        <v>5</v>
      </c>
      <c r="S8">
        <v>0.56087955365933695</v>
      </c>
      <c r="T8" t="s">
        <v>194</v>
      </c>
      <c r="W8">
        <v>-9.4704447545415036</v>
      </c>
      <c r="X8" t="s">
        <v>208</v>
      </c>
    </row>
    <row r="9" spans="1:48" x14ac:dyDescent="0.2">
      <c r="A9" t="s">
        <v>209</v>
      </c>
      <c r="D9">
        <v>35</v>
      </c>
      <c r="G9">
        <v>32.219322739591597</v>
      </c>
      <c r="H9">
        <v>-59.492710617063601</v>
      </c>
      <c r="I9">
        <v>85.924538544399297</v>
      </c>
      <c r="J9">
        <v>-53.7052158048078</v>
      </c>
      <c r="K9">
        <v>2.3149217591589002</v>
      </c>
      <c r="L9">
        <v>3.1693875135610901</v>
      </c>
      <c r="M9">
        <v>-0.80025041529389995</v>
      </c>
      <c r="N9">
        <v>214.48188555254501</v>
      </c>
      <c r="O9" s="13">
        <v>0</v>
      </c>
      <c r="P9">
        <v>12.315801281130399</v>
      </c>
      <c r="Q9">
        <v>-66.515565023853398</v>
      </c>
      <c r="R9">
        <v>15</v>
      </c>
      <c r="S9">
        <v>0.42540322580645101</v>
      </c>
      <c r="W9">
        <v>-5.787494812255801</v>
      </c>
      <c r="X9" t="s">
        <v>210</v>
      </c>
    </row>
    <row r="10" spans="1:48" x14ac:dyDescent="0.2">
      <c r="A10" t="s">
        <v>211</v>
      </c>
      <c r="D10">
        <v>43</v>
      </c>
      <c r="G10">
        <v>45.079447865988399</v>
      </c>
      <c r="H10">
        <v>-47.717732862687903</v>
      </c>
      <c r="I10">
        <v>94.540005763355893</v>
      </c>
      <c r="J10">
        <v>-49.460557897367501</v>
      </c>
      <c r="K10">
        <v>2.2325115750224298</v>
      </c>
      <c r="L10">
        <v>3.5157923180997899</v>
      </c>
      <c r="M10">
        <v>-0.59036128880597805</v>
      </c>
      <c r="N10">
        <v>209.75089194404001</v>
      </c>
      <c r="O10">
        <v>-79</v>
      </c>
      <c r="P10">
        <v>7.0861910912959098</v>
      </c>
      <c r="Q10">
        <v>-59.870291254318502</v>
      </c>
      <c r="R10">
        <v>10</v>
      </c>
      <c r="S10">
        <v>1</v>
      </c>
      <c r="W10">
        <v>1.7428250346795977</v>
      </c>
      <c r="X10" t="s">
        <v>212</v>
      </c>
    </row>
    <row r="11" spans="1:48" x14ac:dyDescent="0.2">
      <c r="A11" t="s">
        <v>213</v>
      </c>
      <c r="D11">
        <v>50</v>
      </c>
      <c r="G11">
        <v>32.7152625446586</v>
      </c>
      <c r="H11">
        <v>-54.820567121069899</v>
      </c>
      <c r="I11">
        <v>83.524043598924607</v>
      </c>
      <c r="J11">
        <v>-50.808781054265999</v>
      </c>
      <c r="K11">
        <v>1.8351557383897501</v>
      </c>
      <c r="L11">
        <v>2.33785924373761</v>
      </c>
      <c r="M11">
        <v>-0.52826354838171397</v>
      </c>
      <c r="N11">
        <v>371.806514638919</v>
      </c>
      <c r="O11">
        <v>-200</v>
      </c>
      <c r="P11">
        <v>45.634910670410299</v>
      </c>
      <c r="Q11">
        <v>-69.320213423160695</v>
      </c>
      <c r="R11">
        <v>19</v>
      </c>
      <c r="S11">
        <v>0.25339087546239297</v>
      </c>
      <c r="T11" t="s">
        <v>194</v>
      </c>
      <c r="W11">
        <v>-4.0117860668039</v>
      </c>
      <c r="X11" t="s">
        <v>214</v>
      </c>
    </row>
    <row r="12" spans="1:48" x14ac:dyDescent="0.2">
      <c r="A12" s="6" t="s">
        <v>215</v>
      </c>
      <c r="D12">
        <v>51</v>
      </c>
      <c r="F12"/>
      <c r="G12" s="7">
        <v>34.326552701677997</v>
      </c>
      <c r="H12">
        <v>-51.1047324809279</v>
      </c>
      <c r="I12">
        <v>81.452382727967105</v>
      </c>
      <c r="J12">
        <v>-47.125830026289101</v>
      </c>
      <c r="K12">
        <v>1.9962711635443999</v>
      </c>
      <c r="L12">
        <v>2.3025288891708899</v>
      </c>
      <c r="M12">
        <v>-0.56991666169506505</v>
      </c>
      <c r="N12">
        <v>128.67268414591899</v>
      </c>
      <c r="O12" s="11">
        <v>-180</v>
      </c>
      <c r="P12">
        <v>-1.2838997035216799</v>
      </c>
      <c r="Q12">
        <v>-65.688066419648905</v>
      </c>
      <c r="R12">
        <v>8</v>
      </c>
      <c r="S12">
        <v>0.18982335881887699</v>
      </c>
      <c r="T12" s="8"/>
      <c r="W12">
        <f t="shared" ref="W12" si="1">H12-J12</f>
        <v>-3.9789024546387992</v>
      </c>
      <c r="X12" t="s">
        <v>216</v>
      </c>
    </row>
    <row r="13" spans="1:48" x14ac:dyDescent="0.2">
      <c r="A13" t="s">
        <v>217</v>
      </c>
      <c r="D13">
        <v>53</v>
      </c>
      <c r="G13" t="s">
        <v>53</v>
      </c>
      <c r="H13" t="s">
        <v>53</v>
      </c>
      <c r="I13">
        <v>78.229802434571795</v>
      </c>
      <c r="J13" t="s">
        <v>53</v>
      </c>
      <c r="K13">
        <v>1.3096506123927301</v>
      </c>
      <c r="L13">
        <v>4.0219029293584496</v>
      </c>
      <c r="M13">
        <v>-1.06310809484913</v>
      </c>
      <c r="N13">
        <v>63.617111446144101</v>
      </c>
      <c r="O13">
        <v>-39</v>
      </c>
      <c r="P13">
        <v>7.3254040855974702</v>
      </c>
      <c r="Q13">
        <v>-64.7234696012558</v>
      </c>
      <c r="R13">
        <v>16</v>
      </c>
      <c r="S13">
        <v>0.37793555434189002</v>
      </c>
      <c r="W13" t="e">
        <v>#VALUE!</v>
      </c>
      <c r="X13" t="s">
        <v>218</v>
      </c>
    </row>
    <row r="14" spans="1:48" x14ac:dyDescent="0.2">
      <c r="A14" t="s">
        <v>219</v>
      </c>
      <c r="D14" t="s">
        <v>193</v>
      </c>
      <c r="G14">
        <v>44.060060278350697</v>
      </c>
      <c r="H14">
        <v>-45.777606909428798</v>
      </c>
      <c r="I14">
        <v>80.104154380557205</v>
      </c>
      <c r="J14">
        <v>-36.0440941022065</v>
      </c>
      <c r="K14">
        <v>1.8620832457451799</v>
      </c>
      <c r="L14">
        <v>3.47578371679037</v>
      </c>
      <c r="M14">
        <v>-0.98979273710147297</v>
      </c>
      <c r="N14">
        <v>121.926966263559</v>
      </c>
      <c r="O14">
        <v>0</v>
      </c>
      <c r="P14">
        <v>1.7516360153100801</v>
      </c>
      <c r="Q14">
        <v>-46.540653429072897</v>
      </c>
      <c r="R14">
        <v>17</v>
      </c>
      <c r="S14">
        <v>0.20648225761385899</v>
      </c>
      <c r="W14">
        <v>-9.7335128072222972</v>
      </c>
      <c r="X14" t="s">
        <v>220</v>
      </c>
    </row>
    <row r="15" spans="1:48" x14ac:dyDescent="0.2">
      <c r="A15" t="s">
        <v>221</v>
      </c>
      <c r="D15">
        <v>54</v>
      </c>
      <c r="G15">
        <v>35.247289927604598</v>
      </c>
      <c r="H15">
        <v>-51.861052796750698</v>
      </c>
      <c r="I15">
        <v>83.754226576544198</v>
      </c>
      <c r="J15">
        <v>-48.5069366489396</v>
      </c>
      <c r="K15">
        <v>1.91116834678696</v>
      </c>
      <c r="L15">
        <v>4.4529713923420102</v>
      </c>
      <c r="M15">
        <v>-0.76105331441357804</v>
      </c>
      <c r="N15">
        <v>226.501349528551</v>
      </c>
      <c r="O15">
        <v>19</v>
      </c>
      <c r="P15">
        <v>8.6340554822429105</v>
      </c>
      <c r="Q15">
        <v>-67.233757178210794</v>
      </c>
      <c r="R15">
        <v>29</v>
      </c>
      <c r="S15">
        <v>0.32175622542595</v>
      </c>
      <c r="T15" t="s">
        <v>194</v>
      </c>
      <c r="W15">
        <v>-3.3541161478110979</v>
      </c>
      <c r="X15" t="s">
        <v>222</v>
      </c>
    </row>
    <row r="16" spans="1:48" x14ac:dyDescent="0.2">
      <c r="A16" s="15" t="s">
        <v>223</v>
      </c>
      <c r="D16" t="s">
        <v>193</v>
      </c>
      <c r="F16"/>
      <c r="G16" s="7">
        <v>41.001897481489799</v>
      </c>
      <c r="H16">
        <v>-64.685615394825106</v>
      </c>
      <c r="I16">
        <v>89.574601112843695</v>
      </c>
      <c r="J16">
        <v>-48.572703631353903</v>
      </c>
      <c r="K16">
        <v>2.2984359510083299</v>
      </c>
      <c r="L16">
        <v>3.7377556422434002</v>
      </c>
      <c r="M16">
        <v>-0.84931867673087402</v>
      </c>
      <c r="N16">
        <v>-200.613820092352</v>
      </c>
      <c r="O16">
        <v>-180</v>
      </c>
      <c r="P16">
        <v>13.042916613794</v>
      </c>
      <c r="Q16">
        <v>-60.949227778548</v>
      </c>
      <c r="R16">
        <v>12</v>
      </c>
      <c r="S16" s="14" t="s">
        <v>53</v>
      </c>
      <c r="T16" s="8"/>
      <c r="W16">
        <f t="shared" ref="W16" si="2">H16-J16</f>
        <v>-16.112911763471203</v>
      </c>
      <c r="X16" t="s">
        <v>224</v>
      </c>
    </row>
    <row r="17" spans="1:24" x14ac:dyDescent="0.2">
      <c r="A17" t="s">
        <v>225</v>
      </c>
      <c r="D17">
        <v>57</v>
      </c>
      <c r="G17">
        <v>37.151186398088797</v>
      </c>
      <c r="H17">
        <v>-39.434436238516298</v>
      </c>
      <c r="I17">
        <v>67.246712436050302</v>
      </c>
      <c r="J17">
        <v>-30.095526037961498</v>
      </c>
      <c r="K17">
        <v>2.0600396141615298</v>
      </c>
      <c r="L17">
        <v>2.1851071636157999</v>
      </c>
      <c r="M17">
        <v>-0.70075828216579805</v>
      </c>
      <c r="N17">
        <v>-61.181850716179703</v>
      </c>
      <c r="O17">
        <v>259</v>
      </c>
      <c r="P17">
        <v>18.784967910840599</v>
      </c>
      <c r="Q17">
        <v>-63.191271796702097</v>
      </c>
      <c r="R17">
        <v>2</v>
      </c>
      <c r="S17">
        <v>1</v>
      </c>
      <c r="T17" t="s">
        <v>194</v>
      </c>
      <c r="W17">
        <v>-9.3389102005547997</v>
      </c>
      <c r="X17" t="s">
        <v>226</v>
      </c>
    </row>
    <row r="18" spans="1:24" x14ac:dyDescent="0.2">
      <c r="A18" t="s">
        <v>227</v>
      </c>
      <c r="D18" t="s">
        <v>193</v>
      </c>
      <c r="G18">
        <v>32.517048840218301</v>
      </c>
      <c r="H18">
        <v>-51.0398789006111</v>
      </c>
      <c r="I18">
        <v>77.243297415344898</v>
      </c>
      <c r="J18">
        <v>-44.726248575126597</v>
      </c>
      <c r="K18">
        <v>2.2647870343103098</v>
      </c>
      <c r="L18">
        <v>2.55279660452574</v>
      </c>
      <c r="M18">
        <v>-0.81585053544810604</v>
      </c>
      <c r="N18">
        <v>-249.17124516894199</v>
      </c>
      <c r="O18">
        <v>-19</v>
      </c>
      <c r="P18">
        <v>6.3769509472417498</v>
      </c>
      <c r="Q18">
        <v>-57.445948537657799</v>
      </c>
      <c r="R18">
        <v>19</v>
      </c>
      <c r="S18">
        <v>0.127229012221999</v>
      </c>
      <c r="W18">
        <v>-6.3136303254845032</v>
      </c>
      <c r="X18" t="s">
        <v>228</v>
      </c>
    </row>
    <row r="19" spans="1:24" x14ac:dyDescent="0.2">
      <c r="A19" s="6" t="s">
        <v>229</v>
      </c>
      <c r="D19" t="s">
        <v>193</v>
      </c>
      <c r="F19"/>
      <c r="G19" s="7">
        <v>19.485140160996501</v>
      </c>
      <c r="H19">
        <v>-54.995947108125399</v>
      </c>
      <c r="I19">
        <v>69.548563677864706</v>
      </c>
      <c r="J19">
        <v>-50.063423516868198</v>
      </c>
      <c r="K19">
        <v>2.7276043490447099</v>
      </c>
      <c r="L19">
        <v>1.7020490011889999</v>
      </c>
      <c r="M19">
        <v>-0.66306458457059203</v>
      </c>
      <c r="N19">
        <v>-108.146201099121</v>
      </c>
      <c r="O19">
        <v>140</v>
      </c>
      <c r="P19">
        <v>7.8577369707679203</v>
      </c>
      <c r="Q19">
        <v>-72.049125889086596</v>
      </c>
      <c r="R19">
        <v>12</v>
      </c>
      <c r="S19">
        <v>0.43531827515400401</v>
      </c>
      <c r="T19" s="8" t="s">
        <v>194</v>
      </c>
      <c r="W19">
        <f t="shared" ref="W19:W20" si="3">H19-J19</f>
        <v>-4.9325235912572012</v>
      </c>
      <c r="X19" t="s">
        <v>230</v>
      </c>
    </row>
    <row r="20" spans="1:24" x14ac:dyDescent="0.2">
      <c r="A20" s="6" t="s">
        <v>231</v>
      </c>
      <c r="D20" t="s">
        <v>193</v>
      </c>
      <c r="F20"/>
      <c r="G20" s="7">
        <v>25.872633144908001</v>
      </c>
      <c r="H20">
        <v>-34.961805515240499</v>
      </c>
      <c r="I20">
        <v>58.894312915995201</v>
      </c>
      <c r="J20">
        <v>-33.0216797710873</v>
      </c>
      <c r="K20">
        <v>0.66834039095211895</v>
      </c>
      <c r="L20">
        <v>2.4399542442576299</v>
      </c>
      <c r="M20">
        <v>-0.56617928554774299</v>
      </c>
      <c r="N20">
        <v>-104.745764932052</v>
      </c>
      <c r="O20">
        <v>219</v>
      </c>
      <c r="P20">
        <v>4.1333086147522797</v>
      </c>
      <c r="Q20">
        <v>-59.825176521306297</v>
      </c>
      <c r="R20">
        <v>17</v>
      </c>
      <c r="S20">
        <v>0.12520064205457301</v>
      </c>
      <c r="T20" s="8" t="s">
        <v>194</v>
      </c>
      <c r="W20">
        <f t="shared" si="3"/>
        <v>-1.9401257441531996</v>
      </c>
      <c r="X20" t="s">
        <v>232</v>
      </c>
    </row>
    <row r="21" spans="1:24" x14ac:dyDescent="0.2">
      <c r="A21" t="s">
        <v>233</v>
      </c>
      <c r="D21" t="s">
        <v>193</v>
      </c>
      <c r="G21">
        <v>28.1773432463239</v>
      </c>
      <c r="H21">
        <v>-52.485839148126701</v>
      </c>
      <c r="I21">
        <v>70.929669068243896</v>
      </c>
      <c r="J21">
        <v>-42.752325821919896</v>
      </c>
      <c r="K21">
        <v>1.6737988090614</v>
      </c>
      <c r="L21">
        <v>2.0938200876509701</v>
      </c>
      <c r="M21">
        <v>-0.88682647784569102</v>
      </c>
      <c r="N21">
        <v>-114.29769416149701</v>
      </c>
      <c r="O21">
        <v>-140</v>
      </c>
      <c r="P21">
        <v>18.445733184717501</v>
      </c>
      <c r="Q21">
        <v>-50.782394254323599</v>
      </c>
      <c r="R21">
        <v>15</v>
      </c>
      <c r="S21">
        <v>3.4202650705429397E-2</v>
      </c>
      <c r="W21">
        <v>-9.7335133262068041</v>
      </c>
      <c r="X21" t="s">
        <v>234</v>
      </c>
    </row>
    <row r="22" spans="1:24" x14ac:dyDescent="0.2">
      <c r="A22" t="s">
        <v>235</v>
      </c>
      <c r="D22" t="s">
        <v>193</v>
      </c>
      <c r="G22">
        <v>35.247289927604598</v>
      </c>
      <c r="H22">
        <v>-42.785209311611197</v>
      </c>
      <c r="I22">
        <v>66.457511388637002</v>
      </c>
      <c r="J22">
        <v>-31.2102214610324</v>
      </c>
      <c r="K22">
        <v>2.3315664273679002</v>
      </c>
      <c r="L22">
        <v>1.8493382995000101</v>
      </c>
      <c r="M22">
        <v>-0.84058395886112403</v>
      </c>
      <c r="N22">
        <v>-149.92249128922899</v>
      </c>
      <c r="O22">
        <v>100</v>
      </c>
      <c r="P22">
        <v>11.973054036068</v>
      </c>
      <c r="Q22">
        <v>-62.705984145695503</v>
      </c>
      <c r="R22">
        <v>13</v>
      </c>
      <c r="S22">
        <v>2.2265526325286E-2</v>
      </c>
      <c r="T22" t="s">
        <v>194</v>
      </c>
      <c r="W22">
        <v>-11.574987850578797</v>
      </c>
      <c r="X22" t="s">
        <v>236</v>
      </c>
    </row>
  </sheetData>
  <conditionalFormatting sqref="I2">
    <cfRule type="duplicateValues" dxfId="13" priority="16"/>
  </conditionalFormatting>
  <conditionalFormatting sqref="I3">
    <cfRule type="duplicateValues" dxfId="12" priority="13"/>
  </conditionalFormatting>
  <conditionalFormatting sqref="I12">
    <cfRule type="duplicateValues" dxfId="11" priority="10"/>
  </conditionalFormatting>
  <conditionalFormatting sqref="I16">
    <cfRule type="duplicateValues" dxfId="10" priority="7"/>
  </conditionalFormatting>
  <conditionalFormatting sqref="I19">
    <cfRule type="duplicateValues" dxfId="9" priority="4"/>
  </conditionalFormatting>
  <conditionalFormatting sqref="I20">
    <cfRule type="duplicateValues" dxfId="8" priority="1"/>
  </conditionalFormatting>
  <conditionalFormatting sqref="N2:N3">
    <cfRule type="cellIs" dxfId="7" priority="15" operator="lessThan">
      <formula>0</formula>
    </cfRule>
  </conditionalFormatting>
  <conditionalFormatting sqref="N12">
    <cfRule type="cellIs" dxfId="6" priority="12" operator="lessThan">
      <formula>0</formula>
    </cfRule>
  </conditionalFormatting>
  <conditionalFormatting sqref="N16">
    <cfRule type="cellIs" dxfId="5" priority="9" operator="lessThan">
      <formula>0</formula>
    </cfRule>
  </conditionalFormatting>
  <conditionalFormatting sqref="N19:N20">
    <cfRule type="cellIs" dxfId="4" priority="3" operator="lessThan">
      <formula>0</formula>
    </cfRule>
  </conditionalFormatting>
  <conditionalFormatting sqref="O2:O3">
    <cfRule type="cellIs" dxfId="3" priority="14" operator="lessThan">
      <formula>0</formula>
    </cfRule>
  </conditionalFormatting>
  <conditionalFormatting sqref="O12">
    <cfRule type="cellIs" dxfId="2" priority="11" operator="lessThan">
      <formula>0</formula>
    </cfRule>
  </conditionalFormatting>
  <conditionalFormatting sqref="O16">
    <cfRule type="cellIs" dxfId="1" priority="8" operator="lessThan">
      <formula>0</formula>
    </cfRule>
  </conditionalFormatting>
  <conditionalFormatting sqref="O19:O20">
    <cfRule type="cellIs" dxfId="0" priority="2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abeta</vt:lpstr>
      <vt:lpstr>Sheet1</vt:lpstr>
      <vt:lpstr>excluded_data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Nimjeet Chopra</cp:lastModifiedBy>
  <cp:revision/>
  <dcterms:created xsi:type="dcterms:W3CDTF">2026-04-18T10:33:16Z</dcterms:created>
  <dcterms:modified xsi:type="dcterms:W3CDTF">2026-05-24T13:02:08Z</dcterms:modified>
  <cp:category/>
  <cp:contentStatus/>
</cp:coreProperties>
</file>